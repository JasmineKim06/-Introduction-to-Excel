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mine\OneDrive\Desktop\"/>
    </mc:Choice>
  </mc:AlternateContent>
  <xr:revisionPtr revIDLastSave="0" documentId="13_ncr:1_{A70F2E6E-7BF6-4BE4-8BC7-29E728481192}" xr6:coauthVersionLast="47" xr6:coauthVersionMax="47" xr10:uidLastSave="{00000000-0000-0000-0000-000000000000}"/>
  <bookViews>
    <workbookView xWindow="-110" yWindow="-110" windowWidth="25820" windowHeight="15500" xr2:uid="{A2AB31B0-7DCA-432B-B293-18B64011FC4C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Sheet1!$F$85:$F$97</definedName>
    <definedName name="TaxesOwed">Sheet1!$F$2:$F$71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72" i="1" l="1"/>
  <c r="F100" i="1"/>
  <c r="F98" i="1"/>
  <c r="F85" i="1"/>
  <c r="F88" i="1"/>
  <c r="F89" i="1"/>
  <c r="F91" i="1"/>
  <c r="F92" i="1"/>
  <c r="F93" i="1"/>
  <c r="F94" i="1"/>
  <c r="F95" i="1"/>
  <c r="F96" i="1"/>
  <c r="F97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D76" i="1"/>
  <c r="D75" i="1"/>
  <c r="D74" i="1"/>
  <c r="D73" i="1"/>
  <c r="D72" i="1"/>
  <c r="E7" i="1"/>
  <c r="F90" i="1" s="1"/>
  <c r="E4" i="1"/>
  <c r="F87" i="1" s="1"/>
  <c r="M2" i="1" s="1"/>
  <c r="E3" i="1"/>
  <c r="F86" i="1" s="1"/>
  <c r="E5" i="1"/>
  <c r="E6" i="1"/>
  <c r="E8" i="1"/>
  <c r="E9" i="1"/>
  <c r="E10" i="1"/>
  <c r="E11" i="1"/>
  <c r="E12" i="1"/>
  <c r="E13" i="1"/>
  <c r="E14" i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2" i="1"/>
  <c r="E76" i="1" l="1"/>
  <c r="F75" i="1"/>
  <c r="E73" i="1"/>
  <c r="F74" i="1"/>
  <c r="E75" i="1"/>
  <c r="F72" i="1"/>
  <c r="E74" i="1"/>
  <c r="E72" i="1"/>
  <c r="F73" i="1"/>
  <c r="F76" i="1"/>
</calcChain>
</file>

<file path=xl/sharedStrings.xml><?xml version="1.0" encoding="utf-8"?>
<sst xmlns="http://schemas.openxmlformats.org/spreadsheetml/2006/main" count="84" uniqueCount="83">
  <si>
    <t>Julia</t>
  </si>
  <si>
    <t>Amelia</t>
  </si>
  <si>
    <t>James</t>
  </si>
  <si>
    <t>Freddy</t>
  </si>
  <si>
    <t>Jeff</t>
  </si>
  <si>
    <t>Jefferson</t>
  </si>
  <si>
    <t>Janay</t>
  </si>
  <si>
    <t>Tanisha</t>
  </si>
  <si>
    <t>Tre</t>
  </si>
  <si>
    <t>Marisela</t>
  </si>
  <si>
    <t>Adrienne</t>
  </si>
  <si>
    <t>Keegan</t>
  </si>
  <si>
    <t>Nestor</t>
  </si>
  <si>
    <t>Jerod</t>
  </si>
  <si>
    <t>Graciela</t>
  </si>
  <si>
    <t>Kenan</t>
  </si>
  <si>
    <t>Kolton</t>
  </si>
  <si>
    <t>Kerry</t>
  </si>
  <si>
    <t>Anne</t>
  </si>
  <si>
    <t>Dangelo</t>
  </si>
  <si>
    <t>Keisha</t>
  </si>
  <si>
    <t>Ingrid</t>
  </si>
  <si>
    <t>Jaime</t>
  </si>
  <si>
    <t>Lilly</t>
  </si>
  <si>
    <t>Lindsay</t>
  </si>
  <si>
    <t>Jordyn</t>
  </si>
  <si>
    <t>Glen</t>
  </si>
  <si>
    <t>Ester</t>
  </si>
  <si>
    <t>Leandra</t>
  </si>
  <si>
    <t>Emma</t>
  </si>
  <si>
    <t>Phillip</t>
  </si>
  <si>
    <t>Keaton</t>
  </si>
  <si>
    <t>Allan</t>
  </si>
  <si>
    <t>Jacinda</t>
  </si>
  <si>
    <t>Caden</t>
  </si>
  <si>
    <t>Tanya</t>
  </si>
  <si>
    <t>Jude</t>
  </si>
  <si>
    <t>Jayden</t>
  </si>
  <si>
    <t>Dean Ling</t>
  </si>
  <si>
    <t>Danae</t>
  </si>
  <si>
    <t>Tanner</t>
  </si>
  <si>
    <t>Derek</t>
  </si>
  <si>
    <t>Alek</t>
  </si>
  <si>
    <t>Clifford</t>
  </si>
  <si>
    <t>Ariana</t>
  </si>
  <si>
    <t>Mari</t>
  </si>
  <si>
    <t>Andrea</t>
  </si>
  <si>
    <t>Louis</t>
  </si>
  <si>
    <t>Dymond</t>
  </si>
  <si>
    <t>Rogelio</t>
  </si>
  <si>
    <t>Joshua</t>
  </si>
  <si>
    <t>Audra</t>
  </si>
  <si>
    <t>Aubrie</t>
  </si>
  <si>
    <t>Pranav</t>
  </si>
  <si>
    <t>Macie</t>
  </si>
  <si>
    <t>Zayne</t>
  </si>
  <si>
    <t>Samuel</t>
  </si>
  <si>
    <t>Efrain</t>
  </si>
  <si>
    <t>Judah</t>
  </si>
  <si>
    <t>Kavon</t>
  </si>
  <si>
    <t>Rosalinda</t>
  </si>
  <si>
    <t>Raekwon</t>
  </si>
  <si>
    <t>Dante</t>
  </si>
  <si>
    <t>Tianna</t>
  </si>
  <si>
    <t>Alvaro</t>
  </si>
  <si>
    <t>Jayce</t>
  </si>
  <si>
    <t>Ellie</t>
  </si>
  <si>
    <t>Riya</t>
  </si>
  <si>
    <t>Cortney</t>
  </si>
  <si>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</si>
  <si>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</si>
  <si>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</si>
  <si>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</si>
  <si>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</si>
  <si>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</si>
  <si>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</si>
  <si>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Totals:</t>
  </si>
  <si>
    <t>Average:</t>
  </si>
  <si>
    <t>Highest:</t>
  </si>
  <si>
    <t>Lowest:</t>
  </si>
  <si>
    <t>Number of Employees:</t>
  </si>
  <si>
    <t>Hello</t>
  </si>
  <si>
    <t>김지민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</si>
</sst>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₩&quot;* #,##0.00_-;\-&quot;₩&quot;* #,##0.00_-;_-&quot;₩&quot;* &quot;-&quot;??_-;_-@_-"/>
    <numFmt numFmtId="176" formatCode="_(&quot;$&quot;* #,##0.00_);_(&quot;$&quot;* \(#,##0.00\);_(&quot;$&quot;* &quot;-&quot;??_);_(@_)"/>
    <numFmt numFmtId="177" formatCode="&quot;$&quot;#,##0.00"/>
    <numFmt numFmtId="180" formatCode="_-\$* #,##0.00_ ;_-\$* \-#,##0.00\ ;_-\$* &quot;-&quot;??_ ;_-@_ "/>
    <numFmt numFmtId="181" formatCode="&quot;₩&quot;#,##0_);[Red]\(&quot;₩&quot;#,##0\)"/>
  </numFmts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indexed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4"/>
      </patternFill>
    </fill>
    <fill>
      <patternFill patternType="solid">
        <fgColor indexed="42"/>
        <bgColor indexed="24"/>
      </patternFill>
    </fill>
  </fills>
  <borders count="3">
    <border>
      <left/>
      <right/>
      <top/>
      <bottom/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ck">
        <color indexed="23"/>
      </bottom>
      <diagonal/>
    </border>
  </borders>
  <cellStyleXfs count="1">
    <xf numFmtId="0" fontId="0" fillId="0" borderId="0"/>
  </cellStyleXfs>
  <cellXfs count="33">
    <xf numFmtId="0" fontId="0" fillId="0" borderId="0" xfId="0"/>
    <xf numFmtId="177" fontId="0" fillId="0" borderId="0" xfId="0" applyNumberFormat="1"/>
    <xf numFmtId="176" fontId="0" fillId="0" borderId="0" xfId="0" applyNumberFormat="1"/>
    <xf numFmtId="49" fontId="0" fillId="0" borderId="0" xfId="0" applyNumberFormat="1"/>
    <xf numFmtId="44" fontId="0" fillId="0" borderId="0" xfId="0" applyNumberFormat="1"/>
    <xf numFmtId="0" fontId="2" fillId="0" borderId="0" xfId="0" applyFont="1" applyAlignment="1">
      <alignment horizontal="center" vertical="top"/>
    </xf>
    <xf numFmtId="0" fontId="4" fillId="2" borderId="0" xfId="0" applyFont="1" applyFill="1" applyBorder="1" applyAlignment="1"/>
    <xf numFmtId="177" fontId="4" fillId="2" borderId="0" xfId="0" applyNumberFormat="1" applyFont="1" applyFill="1" applyBorder="1" applyAlignment="1"/>
    <xf numFmtId="176" fontId="4" fillId="2" borderId="0" xfId="0" applyNumberFormat="1" applyFont="1" applyFill="1" applyBorder="1" applyAlignment="1"/>
    <xf numFmtId="181" fontId="4" fillId="2" borderId="0" xfId="0" applyNumberFormat="1" applyFont="1" applyFill="1" applyBorder="1" applyAlignment="1"/>
    <xf numFmtId="180" fontId="4" fillId="2" borderId="0" xfId="0" applyNumberFormat="1" applyFont="1" applyFill="1" applyBorder="1" applyAlignment="1"/>
    <xf numFmtId="0" fontId="4" fillId="3" borderId="0" xfId="0" applyFont="1" applyFill="1" applyBorder="1" applyAlignment="1"/>
    <xf numFmtId="177" fontId="4" fillId="3" borderId="0" xfId="0" applyNumberFormat="1" applyFont="1" applyFill="1" applyBorder="1" applyAlignment="1"/>
    <xf numFmtId="176" fontId="4" fillId="3" borderId="0" xfId="0" applyNumberFormat="1" applyFont="1" applyFill="1" applyBorder="1" applyAlignment="1"/>
    <xf numFmtId="0" fontId="4" fillId="3" borderId="0" xfId="0" applyFont="1" applyFill="1" applyBorder="1" applyAlignment="1">
      <alignment horizontal="left"/>
    </xf>
    <xf numFmtId="49" fontId="4" fillId="3" borderId="0" xfId="0" applyNumberFormat="1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49" fontId="4" fillId="2" borderId="0" xfId="0" applyNumberFormat="1" applyFont="1" applyFill="1" applyBorder="1" applyAlignment="1">
      <alignment horizontal="left"/>
    </xf>
    <xf numFmtId="0" fontId="4" fillId="2" borderId="1" xfId="0" applyFont="1" applyFill="1" applyBorder="1" applyAlignment="1"/>
    <xf numFmtId="177" fontId="4" fillId="2" borderId="1" xfId="0" applyNumberFormat="1" applyFont="1" applyFill="1" applyBorder="1" applyAlignment="1"/>
    <xf numFmtId="176" fontId="4" fillId="2" borderId="1" xfId="0" applyNumberFormat="1" applyFont="1" applyFill="1" applyBorder="1" applyAlignment="1"/>
    <xf numFmtId="0" fontId="3" fillId="2" borderId="1" xfId="0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177" fontId="4" fillId="2" borderId="2" xfId="0" applyNumberFormat="1" applyFont="1" applyFill="1" applyBorder="1" applyAlignment="1"/>
    <xf numFmtId="0" fontId="4" fillId="2" borderId="2" xfId="0" applyFont="1" applyFill="1" applyBorder="1" applyAlignment="1"/>
    <xf numFmtId="176" fontId="4" fillId="2" borderId="2" xfId="0" applyNumberFormat="1" applyFont="1" applyFill="1" applyBorder="1" applyAlignment="1"/>
    <xf numFmtId="0" fontId="5" fillId="2" borderId="1" xfId="0" applyFont="1" applyFill="1" applyBorder="1" applyAlignment="1">
      <alignment horizontal="left" vertical="top"/>
    </xf>
    <xf numFmtId="49" fontId="5" fillId="2" borderId="1" xfId="0" applyNumberFormat="1" applyFont="1" applyFill="1" applyBorder="1" applyAlignment="1">
      <alignment horizontal="left" vertical="top"/>
    </xf>
    <xf numFmtId="177" fontId="5" fillId="2" borderId="1" xfId="0" applyNumberFormat="1" applyFont="1" applyFill="1" applyBorder="1" applyAlignment="1">
      <alignment vertical="top"/>
    </xf>
    <xf numFmtId="0" fontId="5" fillId="2" borderId="1" xfId="0" applyFont="1" applyFill="1" applyBorder="1" applyAlignment="1">
      <alignment vertical="top"/>
    </xf>
    <xf numFmtId="176" fontId="5" fillId="2" borderId="1" xfId="0" applyNumberFormat="1" applyFont="1" applyFill="1" applyBorder="1" applyAlignment="1">
      <alignment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Summary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Hourly Wage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17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AC-43B7-98CA-1E4FC4150B7E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Hours Worked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AC-43B7-98CA-1E4FC4150B7E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 Taxable Income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Sheet1!$E$2:$E$71</c:f>
              <c:numCache>
                <c:formatCode>_("$"* #,##0.00_);_("$"* \(#,##0.00\);_("$"*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2125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AC-43B7-98CA-1E4FC4150B7E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 Taxes to Be Paid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Sheet1!$F$2:$F$71</c:f>
              <c:numCache>
                <c:formatCode>_("$"* #,##0.00_);_("$"* \(#,##0.00\);_("$"* "-"??_);_(@_)</c:formatCode>
                <c:ptCount val="70"/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AC-43B7-98CA-1E4FC4150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9255648"/>
        <c:axId val="569250400"/>
      </c:barChart>
      <c:catAx>
        <c:axId val="569255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250400"/>
        <c:crosses val="autoZero"/>
        <c:auto val="1"/>
        <c:lblAlgn val="ctr"/>
        <c:lblOffset val="100"/>
        <c:noMultiLvlLbl val="0"/>
      </c:catAx>
      <c:valAx>
        <c:axId val="56925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Taxable</a:t>
                </a:r>
                <a:r>
                  <a:rPr lang="en-US" baseline="0"/>
                  <a:t> Income, Taxes Owed, etc.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25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Summary Chart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Sheet1!$A$1:$B$71</c:f>
              <c:multiLvlStrCache>
                <c:ptCount val="71"/>
                <c:lvl>
                  <c:pt idx="0">
                    <c:v>Name</c:v>
                  </c:pt>
                  <c:pt idx="1">
                    <c:v>Julia</c:v>
                  </c:pt>
                  <c:pt idx="2">
                    <c:v>James</c:v>
                  </c:pt>
                  <c:pt idx="3">
                    <c:v>Amelia</c:v>
                  </c:pt>
                  <c:pt idx="4">
                    <c:v>Freddy</c:v>
                  </c:pt>
                  <c:pt idx="5">
                    <c:v>Jeff</c:v>
                  </c:pt>
                  <c:pt idx="6">
                    <c:v>Jefferson</c:v>
                  </c:pt>
                  <c:pt idx="7">
                    <c:v>Clifford</c:v>
                  </c:pt>
                  <c:pt idx="8">
                    <c:v>Janay</c:v>
                  </c:pt>
                  <c:pt idx="9">
                    <c:v>Tanisha</c:v>
                  </c:pt>
                  <c:pt idx="10">
                    <c:v>Tre</c:v>
                  </c:pt>
                  <c:pt idx="11">
                    <c:v>Ariana</c:v>
                  </c:pt>
                  <c:pt idx="12">
                    <c:v>Marisela</c:v>
                  </c:pt>
                  <c:pt idx="13">
                    <c:v>Adrienne</c:v>
                  </c:pt>
                  <c:pt idx="14">
                    <c:v>Keegan</c:v>
                  </c:pt>
                  <c:pt idx="15">
                    <c:v>Nestor</c:v>
                  </c:pt>
                  <c:pt idx="16">
                    <c:v>Mari</c:v>
                  </c:pt>
                  <c:pt idx="17">
                    <c:v>Jerod</c:v>
                  </c:pt>
                  <c:pt idx="18">
                    <c:v>Graciela</c:v>
                  </c:pt>
                  <c:pt idx="19">
                    <c:v>Kenan</c:v>
                  </c:pt>
                  <c:pt idx="20">
                    <c:v>Andrea</c:v>
                  </c:pt>
                  <c:pt idx="21">
                    <c:v>Kolton</c:v>
                  </c:pt>
                  <c:pt idx="22">
                    <c:v>Dangelo</c:v>
                  </c:pt>
                  <c:pt idx="23">
                    <c:v>Louis</c:v>
                  </c:pt>
                  <c:pt idx="24">
                    <c:v>Kerry</c:v>
                  </c:pt>
                  <c:pt idx="25">
                    <c:v>Anne</c:v>
                  </c:pt>
                  <c:pt idx="26">
                    <c:v>Dangelo</c:v>
                  </c:pt>
                  <c:pt idx="27">
                    <c:v>Keisha</c:v>
                  </c:pt>
                  <c:pt idx="28">
                    <c:v>Dymond</c:v>
                  </c:pt>
                  <c:pt idx="29">
                    <c:v>Ingrid</c:v>
                  </c:pt>
                  <c:pt idx="30">
                    <c:v>Jaime</c:v>
                  </c:pt>
                  <c:pt idx="31">
                    <c:v>Lilly</c:v>
                  </c:pt>
                  <c:pt idx="32">
                    <c:v>Rogelio</c:v>
                  </c:pt>
                  <c:pt idx="33">
                    <c:v>Joshua</c:v>
                  </c:pt>
                  <c:pt idx="34">
                    <c:v>Lindsay</c:v>
                  </c:pt>
                  <c:pt idx="35">
                    <c:v>Audra</c:v>
                  </c:pt>
                  <c:pt idx="36">
                    <c:v>Aubrie</c:v>
                  </c:pt>
                  <c:pt idx="37">
                    <c:v>Pranav</c:v>
                  </c:pt>
                  <c:pt idx="38">
                    <c:v>Jordyn</c:v>
                  </c:pt>
                  <c:pt idx="39">
                    <c:v>Macie</c:v>
                  </c:pt>
                  <c:pt idx="40">
                    <c:v>Glen</c:v>
                  </c:pt>
                  <c:pt idx="41">
                    <c:v>Zayne</c:v>
                  </c:pt>
                  <c:pt idx="42">
                    <c:v>Samuel</c:v>
                  </c:pt>
                  <c:pt idx="43">
                    <c:v>Ester</c:v>
                  </c:pt>
                  <c:pt idx="44">
                    <c:v>Leandra</c:v>
                  </c:pt>
                  <c:pt idx="45">
                    <c:v>Emma</c:v>
                  </c:pt>
                  <c:pt idx="46">
                    <c:v>Efrain</c:v>
                  </c:pt>
                  <c:pt idx="47">
                    <c:v>Phillip</c:v>
                  </c:pt>
                  <c:pt idx="48">
                    <c:v>Judah</c:v>
                  </c:pt>
                  <c:pt idx="49">
                    <c:v>Keaton</c:v>
                  </c:pt>
                  <c:pt idx="50">
                    <c:v>Kavon</c:v>
                  </c:pt>
                  <c:pt idx="51">
                    <c:v>Allan</c:v>
                  </c:pt>
                  <c:pt idx="52">
                    <c:v>Jacinda</c:v>
                  </c:pt>
                  <c:pt idx="53">
                    <c:v>Caden</c:v>
                  </c:pt>
                  <c:pt idx="54">
                    <c:v>Tanya</c:v>
                  </c:pt>
                  <c:pt idx="55">
                    <c:v>Rosalinda</c:v>
                  </c:pt>
                  <c:pt idx="56">
                    <c:v>Raekwon</c:v>
                  </c:pt>
                  <c:pt idx="57">
                    <c:v>Jude</c:v>
                  </c:pt>
                  <c:pt idx="58">
                    <c:v>Dante</c:v>
                  </c:pt>
                  <c:pt idx="59">
                    <c:v>Jayden</c:v>
                  </c:pt>
                  <c:pt idx="60">
                    <c:v>Tianna</c:v>
                  </c:pt>
                  <c:pt idx="61">
                    <c:v>Dean Ling</c:v>
                  </c:pt>
                  <c:pt idx="62">
                    <c:v>Danae</c:v>
                  </c:pt>
                  <c:pt idx="63">
                    <c:v>Alvaro</c:v>
                  </c:pt>
                  <c:pt idx="64">
                    <c:v>Jayce</c:v>
                  </c:pt>
                  <c:pt idx="65">
                    <c:v>Tanner</c:v>
                  </c:pt>
                  <c:pt idx="66">
                    <c:v>Derek</c:v>
                  </c:pt>
                  <c:pt idx="67">
                    <c:v>Ellie</c:v>
                  </c:pt>
                  <c:pt idx="68">
                    <c:v>Alek</c:v>
                  </c:pt>
                  <c:pt idx="69">
                    <c:v>Riya</c:v>
                  </c:pt>
                  <c:pt idx="70">
                    <c:v>Cortney</c:v>
                  </c:pt>
                </c:lvl>
                <c:lvl>
                  <c:pt idx="0">
                    <c:v>Employee ID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</c:lvl>
              </c:multiLvlStrCache>
            </c:multiLvlStrRef>
          </c:cat>
          <c:val>
            <c:numRef>
              <c:f>Sheet1!$C$1:$C$71</c:f>
              <c:numCache>
                <c:formatCode>"$"#,##0.00</c:formatCode>
                <c:ptCount val="71"/>
                <c:pt idx="0">
                  <c:v>0</c:v>
                </c:pt>
                <c:pt idx="1">
                  <c:v>14.25</c:v>
                </c:pt>
                <c:pt idx="2">
                  <c:v>15.5</c:v>
                </c:pt>
                <c:pt idx="3">
                  <c:v>17</c:v>
                </c:pt>
                <c:pt idx="4">
                  <c:v>13.75</c:v>
                </c:pt>
                <c:pt idx="5">
                  <c:v>15.5</c:v>
                </c:pt>
                <c:pt idx="6">
                  <c:v>17</c:v>
                </c:pt>
                <c:pt idx="7">
                  <c:v>13.75</c:v>
                </c:pt>
                <c:pt idx="8">
                  <c:v>15.5</c:v>
                </c:pt>
                <c:pt idx="9">
                  <c:v>10.75</c:v>
                </c:pt>
                <c:pt idx="10">
                  <c:v>15.5</c:v>
                </c:pt>
                <c:pt idx="11">
                  <c:v>12</c:v>
                </c:pt>
                <c:pt idx="12">
                  <c:v>15.5</c:v>
                </c:pt>
                <c:pt idx="13">
                  <c:v>11.75</c:v>
                </c:pt>
                <c:pt idx="14">
                  <c:v>12</c:v>
                </c:pt>
                <c:pt idx="15">
                  <c:v>19</c:v>
                </c:pt>
                <c:pt idx="16">
                  <c:v>17</c:v>
                </c:pt>
                <c:pt idx="17">
                  <c:v>19</c:v>
                </c:pt>
                <c:pt idx="18">
                  <c:v>16</c:v>
                </c:pt>
                <c:pt idx="19">
                  <c:v>18</c:v>
                </c:pt>
                <c:pt idx="20">
                  <c:v>16.5</c:v>
                </c:pt>
                <c:pt idx="21">
                  <c:v>13</c:v>
                </c:pt>
                <c:pt idx="22">
                  <c:v>12</c:v>
                </c:pt>
                <c:pt idx="23">
                  <c:v>18</c:v>
                </c:pt>
                <c:pt idx="24">
                  <c:v>22</c:v>
                </c:pt>
                <c:pt idx="25">
                  <c:v>32</c:v>
                </c:pt>
                <c:pt idx="26">
                  <c:v>11</c:v>
                </c:pt>
                <c:pt idx="27">
                  <c:v>14</c:v>
                </c:pt>
                <c:pt idx="28">
                  <c:v>15.5</c:v>
                </c:pt>
                <c:pt idx="29">
                  <c:v>15</c:v>
                </c:pt>
                <c:pt idx="30">
                  <c:v>12</c:v>
                </c:pt>
                <c:pt idx="31">
                  <c:v>15.5</c:v>
                </c:pt>
                <c:pt idx="32">
                  <c:v>11.75</c:v>
                </c:pt>
                <c:pt idx="33">
                  <c:v>12</c:v>
                </c:pt>
                <c:pt idx="34">
                  <c:v>19</c:v>
                </c:pt>
                <c:pt idx="35">
                  <c:v>17</c:v>
                </c:pt>
                <c:pt idx="36">
                  <c:v>19</c:v>
                </c:pt>
                <c:pt idx="37">
                  <c:v>16</c:v>
                </c:pt>
                <c:pt idx="38">
                  <c:v>18</c:v>
                </c:pt>
                <c:pt idx="39">
                  <c:v>15.5</c:v>
                </c:pt>
                <c:pt idx="40">
                  <c:v>14</c:v>
                </c:pt>
                <c:pt idx="41">
                  <c:v>12</c:v>
                </c:pt>
                <c:pt idx="42">
                  <c:v>11</c:v>
                </c:pt>
                <c:pt idx="43">
                  <c:v>12</c:v>
                </c:pt>
                <c:pt idx="44">
                  <c:v>15.5</c:v>
                </c:pt>
                <c:pt idx="45">
                  <c:v>11.75</c:v>
                </c:pt>
                <c:pt idx="46">
                  <c:v>12</c:v>
                </c:pt>
                <c:pt idx="47">
                  <c:v>19</c:v>
                </c:pt>
                <c:pt idx="48">
                  <c:v>17</c:v>
                </c:pt>
                <c:pt idx="49">
                  <c:v>19</c:v>
                </c:pt>
                <c:pt idx="50">
                  <c:v>16</c:v>
                </c:pt>
                <c:pt idx="51">
                  <c:v>18</c:v>
                </c:pt>
                <c:pt idx="52">
                  <c:v>11.5</c:v>
                </c:pt>
                <c:pt idx="53">
                  <c:v>15.5</c:v>
                </c:pt>
                <c:pt idx="54">
                  <c:v>15.5</c:v>
                </c:pt>
                <c:pt idx="55">
                  <c:v>12</c:v>
                </c:pt>
                <c:pt idx="56">
                  <c:v>15.5</c:v>
                </c:pt>
                <c:pt idx="57">
                  <c:v>11.75</c:v>
                </c:pt>
                <c:pt idx="58">
                  <c:v>12</c:v>
                </c:pt>
                <c:pt idx="59">
                  <c:v>19</c:v>
                </c:pt>
                <c:pt idx="60">
                  <c:v>17</c:v>
                </c:pt>
                <c:pt idx="61">
                  <c:v>19</c:v>
                </c:pt>
                <c:pt idx="62">
                  <c:v>16</c:v>
                </c:pt>
                <c:pt idx="63">
                  <c:v>18</c:v>
                </c:pt>
                <c:pt idx="64">
                  <c:v>11</c:v>
                </c:pt>
                <c:pt idx="65">
                  <c:v>15.5</c:v>
                </c:pt>
                <c:pt idx="66">
                  <c:v>11</c:v>
                </c:pt>
                <c:pt idx="67">
                  <c:v>12</c:v>
                </c:pt>
                <c:pt idx="68">
                  <c:v>15.5</c:v>
                </c:pt>
                <c:pt idx="69">
                  <c:v>11</c:v>
                </c:pt>
                <c:pt idx="7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93-4557-9887-17E435E64266}"/>
            </c:ext>
          </c:extLst>
        </c:ser>
        <c:ser>
          <c:idx val="1"/>
          <c:order val="1"/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Sheet1!$A$1:$B$71</c:f>
              <c:multiLvlStrCache>
                <c:ptCount val="71"/>
                <c:lvl>
                  <c:pt idx="0">
                    <c:v>Name</c:v>
                  </c:pt>
                  <c:pt idx="1">
                    <c:v>Julia</c:v>
                  </c:pt>
                  <c:pt idx="2">
                    <c:v>James</c:v>
                  </c:pt>
                  <c:pt idx="3">
                    <c:v>Amelia</c:v>
                  </c:pt>
                  <c:pt idx="4">
                    <c:v>Freddy</c:v>
                  </c:pt>
                  <c:pt idx="5">
                    <c:v>Jeff</c:v>
                  </c:pt>
                  <c:pt idx="6">
                    <c:v>Jefferson</c:v>
                  </c:pt>
                  <c:pt idx="7">
                    <c:v>Clifford</c:v>
                  </c:pt>
                  <c:pt idx="8">
                    <c:v>Janay</c:v>
                  </c:pt>
                  <c:pt idx="9">
                    <c:v>Tanisha</c:v>
                  </c:pt>
                  <c:pt idx="10">
                    <c:v>Tre</c:v>
                  </c:pt>
                  <c:pt idx="11">
                    <c:v>Ariana</c:v>
                  </c:pt>
                  <c:pt idx="12">
                    <c:v>Marisela</c:v>
                  </c:pt>
                  <c:pt idx="13">
                    <c:v>Adrienne</c:v>
                  </c:pt>
                  <c:pt idx="14">
                    <c:v>Keegan</c:v>
                  </c:pt>
                  <c:pt idx="15">
                    <c:v>Nestor</c:v>
                  </c:pt>
                  <c:pt idx="16">
                    <c:v>Mari</c:v>
                  </c:pt>
                  <c:pt idx="17">
                    <c:v>Jerod</c:v>
                  </c:pt>
                  <c:pt idx="18">
                    <c:v>Graciela</c:v>
                  </c:pt>
                  <c:pt idx="19">
                    <c:v>Kenan</c:v>
                  </c:pt>
                  <c:pt idx="20">
                    <c:v>Andrea</c:v>
                  </c:pt>
                  <c:pt idx="21">
                    <c:v>Kolton</c:v>
                  </c:pt>
                  <c:pt idx="22">
                    <c:v>Dangelo</c:v>
                  </c:pt>
                  <c:pt idx="23">
                    <c:v>Louis</c:v>
                  </c:pt>
                  <c:pt idx="24">
                    <c:v>Kerry</c:v>
                  </c:pt>
                  <c:pt idx="25">
                    <c:v>Anne</c:v>
                  </c:pt>
                  <c:pt idx="26">
                    <c:v>Dangelo</c:v>
                  </c:pt>
                  <c:pt idx="27">
                    <c:v>Keisha</c:v>
                  </c:pt>
                  <c:pt idx="28">
                    <c:v>Dymond</c:v>
                  </c:pt>
                  <c:pt idx="29">
                    <c:v>Ingrid</c:v>
                  </c:pt>
                  <c:pt idx="30">
                    <c:v>Jaime</c:v>
                  </c:pt>
                  <c:pt idx="31">
                    <c:v>Lilly</c:v>
                  </c:pt>
                  <c:pt idx="32">
                    <c:v>Rogelio</c:v>
                  </c:pt>
                  <c:pt idx="33">
                    <c:v>Joshua</c:v>
                  </c:pt>
                  <c:pt idx="34">
                    <c:v>Lindsay</c:v>
                  </c:pt>
                  <c:pt idx="35">
                    <c:v>Audra</c:v>
                  </c:pt>
                  <c:pt idx="36">
                    <c:v>Aubrie</c:v>
                  </c:pt>
                  <c:pt idx="37">
                    <c:v>Pranav</c:v>
                  </c:pt>
                  <c:pt idx="38">
                    <c:v>Jordyn</c:v>
                  </c:pt>
                  <c:pt idx="39">
                    <c:v>Macie</c:v>
                  </c:pt>
                  <c:pt idx="40">
                    <c:v>Glen</c:v>
                  </c:pt>
                  <c:pt idx="41">
                    <c:v>Zayne</c:v>
                  </c:pt>
                  <c:pt idx="42">
                    <c:v>Samuel</c:v>
                  </c:pt>
                  <c:pt idx="43">
                    <c:v>Ester</c:v>
                  </c:pt>
                  <c:pt idx="44">
                    <c:v>Leandra</c:v>
                  </c:pt>
                  <c:pt idx="45">
                    <c:v>Emma</c:v>
                  </c:pt>
                  <c:pt idx="46">
                    <c:v>Efrain</c:v>
                  </c:pt>
                  <c:pt idx="47">
                    <c:v>Phillip</c:v>
                  </c:pt>
                  <c:pt idx="48">
                    <c:v>Judah</c:v>
                  </c:pt>
                  <c:pt idx="49">
                    <c:v>Keaton</c:v>
                  </c:pt>
                  <c:pt idx="50">
                    <c:v>Kavon</c:v>
                  </c:pt>
                  <c:pt idx="51">
                    <c:v>Allan</c:v>
                  </c:pt>
                  <c:pt idx="52">
                    <c:v>Jacinda</c:v>
                  </c:pt>
                  <c:pt idx="53">
                    <c:v>Caden</c:v>
                  </c:pt>
                  <c:pt idx="54">
                    <c:v>Tanya</c:v>
                  </c:pt>
                  <c:pt idx="55">
                    <c:v>Rosalinda</c:v>
                  </c:pt>
                  <c:pt idx="56">
                    <c:v>Raekwon</c:v>
                  </c:pt>
                  <c:pt idx="57">
                    <c:v>Jude</c:v>
                  </c:pt>
                  <c:pt idx="58">
                    <c:v>Dante</c:v>
                  </c:pt>
                  <c:pt idx="59">
                    <c:v>Jayden</c:v>
                  </c:pt>
                  <c:pt idx="60">
                    <c:v>Tianna</c:v>
                  </c:pt>
                  <c:pt idx="61">
                    <c:v>Dean Ling</c:v>
                  </c:pt>
                  <c:pt idx="62">
                    <c:v>Danae</c:v>
                  </c:pt>
                  <c:pt idx="63">
                    <c:v>Alvaro</c:v>
                  </c:pt>
                  <c:pt idx="64">
                    <c:v>Jayce</c:v>
                  </c:pt>
                  <c:pt idx="65">
                    <c:v>Tanner</c:v>
                  </c:pt>
                  <c:pt idx="66">
                    <c:v>Derek</c:v>
                  </c:pt>
                  <c:pt idx="67">
                    <c:v>Ellie</c:v>
                  </c:pt>
                  <c:pt idx="68">
                    <c:v>Alek</c:v>
                  </c:pt>
                  <c:pt idx="69">
                    <c:v>Riya</c:v>
                  </c:pt>
                  <c:pt idx="70">
                    <c:v>Cortney</c:v>
                  </c:pt>
                </c:lvl>
                <c:lvl>
                  <c:pt idx="0">
                    <c:v>Employee ID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</c:lvl>
              </c:multiLvlStrCache>
            </c:multiLvlStrRef>
          </c:cat>
          <c:val>
            <c:numRef>
              <c:f>Sheet1!$D$1:$D$71</c:f>
              <c:numCache>
                <c:formatCode>General</c:formatCode>
                <c:ptCount val="71"/>
                <c:pt idx="0">
                  <c:v>0</c:v>
                </c:pt>
                <c:pt idx="1">
                  <c:v>158</c:v>
                </c:pt>
                <c:pt idx="2">
                  <c:v>160</c:v>
                </c:pt>
                <c:pt idx="3">
                  <c:v>125</c:v>
                </c:pt>
                <c:pt idx="4">
                  <c:v>165</c:v>
                </c:pt>
                <c:pt idx="5">
                  <c:v>144</c:v>
                </c:pt>
                <c:pt idx="6">
                  <c:v>174</c:v>
                </c:pt>
                <c:pt idx="7">
                  <c:v>161</c:v>
                </c:pt>
                <c:pt idx="8">
                  <c:v>69</c:v>
                </c:pt>
                <c:pt idx="9">
                  <c:v>85</c:v>
                </c:pt>
                <c:pt idx="10">
                  <c:v>117</c:v>
                </c:pt>
                <c:pt idx="11">
                  <c:v>160</c:v>
                </c:pt>
                <c:pt idx="12">
                  <c:v>152</c:v>
                </c:pt>
                <c:pt idx="13">
                  <c:v>129</c:v>
                </c:pt>
                <c:pt idx="14">
                  <c:v>74</c:v>
                </c:pt>
                <c:pt idx="15">
                  <c:v>111</c:v>
                </c:pt>
                <c:pt idx="16">
                  <c:v>132</c:v>
                </c:pt>
                <c:pt idx="17">
                  <c:v>168</c:v>
                </c:pt>
                <c:pt idx="18">
                  <c:v>187</c:v>
                </c:pt>
                <c:pt idx="19">
                  <c:v>70</c:v>
                </c:pt>
                <c:pt idx="20">
                  <c:v>138</c:v>
                </c:pt>
                <c:pt idx="21">
                  <c:v>72</c:v>
                </c:pt>
                <c:pt idx="22">
                  <c:v>130</c:v>
                </c:pt>
                <c:pt idx="23">
                  <c:v>208</c:v>
                </c:pt>
                <c:pt idx="24">
                  <c:v>97</c:v>
                </c:pt>
                <c:pt idx="25">
                  <c:v>199</c:v>
                </c:pt>
                <c:pt idx="26">
                  <c:v>160</c:v>
                </c:pt>
                <c:pt idx="27">
                  <c:v>156</c:v>
                </c:pt>
                <c:pt idx="28">
                  <c:v>117</c:v>
                </c:pt>
                <c:pt idx="29">
                  <c:v>76</c:v>
                </c:pt>
                <c:pt idx="30">
                  <c:v>175</c:v>
                </c:pt>
                <c:pt idx="31">
                  <c:v>87</c:v>
                </c:pt>
                <c:pt idx="32">
                  <c:v>130</c:v>
                </c:pt>
                <c:pt idx="33">
                  <c:v>185</c:v>
                </c:pt>
                <c:pt idx="34">
                  <c:v>152</c:v>
                </c:pt>
                <c:pt idx="35">
                  <c:v>186</c:v>
                </c:pt>
                <c:pt idx="36">
                  <c:v>96</c:v>
                </c:pt>
                <c:pt idx="37">
                  <c:v>100</c:v>
                </c:pt>
                <c:pt idx="38">
                  <c:v>124</c:v>
                </c:pt>
                <c:pt idx="39">
                  <c:v>71</c:v>
                </c:pt>
                <c:pt idx="40">
                  <c:v>83</c:v>
                </c:pt>
                <c:pt idx="41">
                  <c:v>168</c:v>
                </c:pt>
                <c:pt idx="42">
                  <c:v>165</c:v>
                </c:pt>
                <c:pt idx="43">
                  <c:v>145</c:v>
                </c:pt>
                <c:pt idx="44">
                  <c:v>133</c:v>
                </c:pt>
                <c:pt idx="45">
                  <c:v>92</c:v>
                </c:pt>
                <c:pt idx="46">
                  <c:v>74</c:v>
                </c:pt>
                <c:pt idx="47">
                  <c:v>201</c:v>
                </c:pt>
                <c:pt idx="48">
                  <c:v>112</c:v>
                </c:pt>
                <c:pt idx="49">
                  <c:v>166</c:v>
                </c:pt>
                <c:pt idx="50">
                  <c:v>160</c:v>
                </c:pt>
                <c:pt idx="51">
                  <c:v>117</c:v>
                </c:pt>
                <c:pt idx="52">
                  <c:v>152</c:v>
                </c:pt>
                <c:pt idx="53">
                  <c:v>129</c:v>
                </c:pt>
                <c:pt idx="54">
                  <c:v>74</c:v>
                </c:pt>
                <c:pt idx="55">
                  <c:v>111</c:v>
                </c:pt>
                <c:pt idx="56">
                  <c:v>132</c:v>
                </c:pt>
                <c:pt idx="57">
                  <c:v>168</c:v>
                </c:pt>
                <c:pt idx="58">
                  <c:v>187</c:v>
                </c:pt>
                <c:pt idx="59">
                  <c:v>70</c:v>
                </c:pt>
                <c:pt idx="60">
                  <c:v>138</c:v>
                </c:pt>
                <c:pt idx="61">
                  <c:v>72</c:v>
                </c:pt>
                <c:pt idx="62">
                  <c:v>130</c:v>
                </c:pt>
                <c:pt idx="63">
                  <c:v>208</c:v>
                </c:pt>
                <c:pt idx="64">
                  <c:v>97</c:v>
                </c:pt>
                <c:pt idx="65">
                  <c:v>199</c:v>
                </c:pt>
                <c:pt idx="66">
                  <c:v>160</c:v>
                </c:pt>
                <c:pt idx="67">
                  <c:v>156</c:v>
                </c:pt>
                <c:pt idx="68">
                  <c:v>117</c:v>
                </c:pt>
                <c:pt idx="69">
                  <c:v>76</c:v>
                </c:pt>
                <c:pt idx="70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93-4557-9887-17E435E64266}"/>
            </c:ext>
          </c:extLst>
        </c:ser>
        <c:ser>
          <c:idx val="2"/>
          <c:order val="2"/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Sheet1!$A$1:$B$71</c:f>
              <c:multiLvlStrCache>
                <c:ptCount val="71"/>
                <c:lvl>
                  <c:pt idx="0">
                    <c:v>Name</c:v>
                  </c:pt>
                  <c:pt idx="1">
                    <c:v>Julia</c:v>
                  </c:pt>
                  <c:pt idx="2">
                    <c:v>James</c:v>
                  </c:pt>
                  <c:pt idx="3">
                    <c:v>Amelia</c:v>
                  </c:pt>
                  <c:pt idx="4">
                    <c:v>Freddy</c:v>
                  </c:pt>
                  <c:pt idx="5">
                    <c:v>Jeff</c:v>
                  </c:pt>
                  <c:pt idx="6">
                    <c:v>Jefferson</c:v>
                  </c:pt>
                  <c:pt idx="7">
                    <c:v>Clifford</c:v>
                  </c:pt>
                  <c:pt idx="8">
                    <c:v>Janay</c:v>
                  </c:pt>
                  <c:pt idx="9">
                    <c:v>Tanisha</c:v>
                  </c:pt>
                  <c:pt idx="10">
                    <c:v>Tre</c:v>
                  </c:pt>
                  <c:pt idx="11">
                    <c:v>Ariana</c:v>
                  </c:pt>
                  <c:pt idx="12">
                    <c:v>Marisela</c:v>
                  </c:pt>
                  <c:pt idx="13">
                    <c:v>Adrienne</c:v>
                  </c:pt>
                  <c:pt idx="14">
                    <c:v>Keegan</c:v>
                  </c:pt>
                  <c:pt idx="15">
                    <c:v>Nestor</c:v>
                  </c:pt>
                  <c:pt idx="16">
                    <c:v>Mari</c:v>
                  </c:pt>
                  <c:pt idx="17">
                    <c:v>Jerod</c:v>
                  </c:pt>
                  <c:pt idx="18">
                    <c:v>Graciela</c:v>
                  </c:pt>
                  <c:pt idx="19">
                    <c:v>Kenan</c:v>
                  </c:pt>
                  <c:pt idx="20">
                    <c:v>Andrea</c:v>
                  </c:pt>
                  <c:pt idx="21">
                    <c:v>Kolton</c:v>
                  </c:pt>
                  <c:pt idx="22">
                    <c:v>Dangelo</c:v>
                  </c:pt>
                  <c:pt idx="23">
                    <c:v>Louis</c:v>
                  </c:pt>
                  <c:pt idx="24">
                    <c:v>Kerry</c:v>
                  </c:pt>
                  <c:pt idx="25">
                    <c:v>Anne</c:v>
                  </c:pt>
                  <c:pt idx="26">
                    <c:v>Dangelo</c:v>
                  </c:pt>
                  <c:pt idx="27">
                    <c:v>Keisha</c:v>
                  </c:pt>
                  <c:pt idx="28">
                    <c:v>Dymond</c:v>
                  </c:pt>
                  <c:pt idx="29">
                    <c:v>Ingrid</c:v>
                  </c:pt>
                  <c:pt idx="30">
                    <c:v>Jaime</c:v>
                  </c:pt>
                  <c:pt idx="31">
                    <c:v>Lilly</c:v>
                  </c:pt>
                  <c:pt idx="32">
                    <c:v>Rogelio</c:v>
                  </c:pt>
                  <c:pt idx="33">
                    <c:v>Joshua</c:v>
                  </c:pt>
                  <c:pt idx="34">
                    <c:v>Lindsay</c:v>
                  </c:pt>
                  <c:pt idx="35">
                    <c:v>Audra</c:v>
                  </c:pt>
                  <c:pt idx="36">
                    <c:v>Aubrie</c:v>
                  </c:pt>
                  <c:pt idx="37">
                    <c:v>Pranav</c:v>
                  </c:pt>
                  <c:pt idx="38">
                    <c:v>Jordyn</c:v>
                  </c:pt>
                  <c:pt idx="39">
                    <c:v>Macie</c:v>
                  </c:pt>
                  <c:pt idx="40">
                    <c:v>Glen</c:v>
                  </c:pt>
                  <c:pt idx="41">
                    <c:v>Zayne</c:v>
                  </c:pt>
                  <c:pt idx="42">
                    <c:v>Samuel</c:v>
                  </c:pt>
                  <c:pt idx="43">
                    <c:v>Ester</c:v>
                  </c:pt>
                  <c:pt idx="44">
                    <c:v>Leandra</c:v>
                  </c:pt>
                  <c:pt idx="45">
                    <c:v>Emma</c:v>
                  </c:pt>
                  <c:pt idx="46">
                    <c:v>Efrain</c:v>
                  </c:pt>
                  <c:pt idx="47">
                    <c:v>Phillip</c:v>
                  </c:pt>
                  <c:pt idx="48">
                    <c:v>Judah</c:v>
                  </c:pt>
                  <c:pt idx="49">
                    <c:v>Keaton</c:v>
                  </c:pt>
                  <c:pt idx="50">
                    <c:v>Kavon</c:v>
                  </c:pt>
                  <c:pt idx="51">
                    <c:v>Allan</c:v>
                  </c:pt>
                  <c:pt idx="52">
                    <c:v>Jacinda</c:v>
                  </c:pt>
                  <c:pt idx="53">
                    <c:v>Caden</c:v>
                  </c:pt>
                  <c:pt idx="54">
                    <c:v>Tanya</c:v>
                  </c:pt>
                  <c:pt idx="55">
                    <c:v>Rosalinda</c:v>
                  </c:pt>
                  <c:pt idx="56">
                    <c:v>Raekwon</c:v>
                  </c:pt>
                  <c:pt idx="57">
                    <c:v>Jude</c:v>
                  </c:pt>
                  <c:pt idx="58">
                    <c:v>Dante</c:v>
                  </c:pt>
                  <c:pt idx="59">
                    <c:v>Jayden</c:v>
                  </c:pt>
                  <c:pt idx="60">
                    <c:v>Tianna</c:v>
                  </c:pt>
                  <c:pt idx="61">
                    <c:v>Dean Ling</c:v>
                  </c:pt>
                  <c:pt idx="62">
                    <c:v>Danae</c:v>
                  </c:pt>
                  <c:pt idx="63">
                    <c:v>Alvaro</c:v>
                  </c:pt>
                  <c:pt idx="64">
                    <c:v>Jayce</c:v>
                  </c:pt>
                  <c:pt idx="65">
                    <c:v>Tanner</c:v>
                  </c:pt>
                  <c:pt idx="66">
                    <c:v>Derek</c:v>
                  </c:pt>
                  <c:pt idx="67">
                    <c:v>Ellie</c:v>
                  </c:pt>
                  <c:pt idx="68">
                    <c:v>Alek</c:v>
                  </c:pt>
                  <c:pt idx="69">
                    <c:v>Riya</c:v>
                  </c:pt>
                  <c:pt idx="70">
                    <c:v>Cortney</c:v>
                  </c:pt>
                </c:lvl>
                <c:lvl>
                  <c:pt idx="0">
                    <c:v>Employee ID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</c:lvl>
              </c:multiLvlStrCache>
            </c:multiLvlStrRef>
          </c:cat>
          <c:val>
            <c:numRef>
              <c:f>Sheet1!$E$1:$E$71</c:f>
              <c:numCache>
                <c:formatCode>_("$"* #,##0.00_);_("$"* \(#,##0.00\);_("$"* "-"??_);_(@_)</c:formatCode>
                <c:ptCount val="71"/>
                <c:pt idx="0">
                  <c:v>0</c:v>
                </c:pt>
                <c:pt idx="1">
                  <c:v>2251.5</c:v>
                </c:pt>
                <c:pt idx="2">
                  <c:v>2480</c:v>
                </c:pt>
                <c:pt idx="3">
                  <c:v>2125</c:v>
                </c:pt>
                <c:pt idx="4">
                  <c:v>2268.75</c:v>
                </c:pt>
                <c:pt idx="5">
                  <c:v>2232</c:v>
                </c:pt>
                <c:pt idx="6">
                  <c:v>2958</c:v>
                </c:pt>
                <c:pt idx="7">
                  <c:v>2213.75</c:v>
                </c:pt>
                <c:pt idx="8">
                  <c:v>1069.5</c:v>
                </c:pt>
                <c:pt idx="9">
                  <c:v>913.75</c:v>
                </c:pt>
                <c:pt idx="10">
                  <c:v>1813.5</c:v>
                </c:pt>
                <c:pt idx="11">
                  <c:v>1920</c:v>
                </c:pt>
                <c:pt idx="12">
                  <c:v>2356</c:v>
                </c:pt>
                <c:pt idx="13">
                  <c:v>1515.75</c:v>
                </c:pt>
                <c:pt idx="14">
                  <c:v>888</c:v>
                </c:pt>
                <c:pt idx="15">
                  <c:v>2109</c:v>
                </c:pt>
                <c:pt idx="16">
                  <c:v>2244</c:v>
                </c:pt>
                <c:pt idx="17">
                  <c:v>3192</c:v>
                </c:pt>
                <c:pt idx="18">
                  <c:v>2992</c:v>
                </c:pt>
                <c:pt idx="19">
                  <c:v>1260</c:v>
                </c:pt>
                <c:pt idx="20">
                  <c:v>2277</c:v>
                </c:pt>
                <c:pt idx="21">
                  <c:v>936</c:v>
                </c:pt>
                <c:pt idx="22">
                  <c:v>1560</c:v>
                </c:pt>
                <c:pt idx="23">
                  <c:v>3744</c:v>
                </c:pt>
                <c:pt idx="24">
                  <c:v>2134</c:v>
                </c:pt>
                <c:pt idx="25">
                  <c:v>6368</c:v>
                </c:pt>
                <c:pt idx="26">
                  <c:v>1760</c:v>
                </c:pt>
                <c:pt idx="27">
                  <c:v>2184</c:v>
                </c:pt>
                <c:pt idx="28">
                  <c:v>1813.5</c:v>
                </c:pt>
                <c:pt idx="29">
                  <c:v>1140</c:v>
                </c:pt>
                <c:pt idx="30">
                  <c:v>2100</c:v>
                </c:pt>
                <c:pt idx="31">
                  <c:v>1348.5</c:v>
                </c:pt>
                <c:pt idx="32">
                  <c:v>1527.5</c:v>
                </c:pt>
                <c:pt idx="33">
                  <c:v>2220</c:v>
                </c:pt>
                <c:pt idx="34">
                  <c:v>2888</c:v>
                </c:pt>
                <c:pt idx="35">
                  <c:v>3162</c:v>
                </c:pt>
                <c:pt idx="36">
                  <c:v>1824</c:v>
                </c:pt>
                <c:pt idx="37">
                  <c:v>1600</c:v>
                </c:pt>
                <c:pt idx="38">
                  <c:v>2232</c:v>
                </c:pt>
                <c:pt idx="39">
                  <c:v>1100.5</c:v>
                </c:pt>
                <c:pt idx="40">
                  <c:v>1162</c:v>
                </c:pt>
                <c:pt idx="41">
                  <c:v>2016</c:v>
                </c:pt>
                <c:pt idx="42">
                  <c:v>1815</c:v>
                </c:pt>
                <c:pt idx="43">
                  <c:v>1740</c:v>
                </c:pt>
                <c:pt idx="44">
                  <c:v>2061.5</c:v>
                </c:pt>
                <c:pt idx="45">
                  <c:v>1081</c:v>
                </c:pt>
                <c:pt idx="46">
                  <c:v>888</c:v>
                </c:pt>
                <c:pt idx="47">
                  <c:v>3819</c:v>
                </c:pt>
                <c:pt idx="48">
                  <c:v>1904</c:v>
                </c:pt>
                <c:pt idx="49">
                  <c:v>3154</c:v>
                </c:pt>
                <c:pt idx="50">
                  <c:v>2560</c:v>
                </c:pt>
                <c:pt idx="51">
                  <c:v>2106</c:v>
                </c:pt>
                <c:pt idx="52">
                  <c:v>1748</c:v>
                </c:pt>
                <c:pt idx="53">
                  <c:v>1999.5</c:v>
                </c:pt>
                <c:pt idx="54">
                  <c:v>1147</c:v>
                </c:pt>
                <c:pt idx="55">
                  <c:v>1332</c:v>
                </c:pt>
                <c:pt idx="56">
                  <c:v>2046</c:v>
                </c:pt>
                <c:pt idx="57">
                  <c:v>1974</c:v>
                </c:pt>
                <c:pt idx="58">
                  <c:v>2244</c:v>
                </c:pt>
                <c:pt idx="59">
                  <c:v>1330</c:v>
                </c:pt>
                <c:pt idx="60">
                  <c:v>2346</c:v>
                </c:pt>
                <c:pt idx="61">
                  <c:v>1368</c:v>
                </c:pt>
                <c:pt idx="62">
                  <c:v>2080</c:v>
                </c:pt>
                <c:pt idx="63">
                  <c:v>3744</c:v>
                </c:pt>
                <c:pt idx="64">
                  <c:v>1067</c:v>
                </c:pt>
                <c:pt idx="65">
                  <c:v>3084.5</c:v>
                </c:pt>
                <c:pt idx="66">
                  <c:v>1760</c:v>
                </c:pt>
                <c:pt idx="67">
                  <c:v>1872</c:v>
                </c:pt>
                <c:pt idx="68">
                  <c:v>1813.5</c:v>
                </c:pt>
                <c:pt idx="69">
                  <c:v>836</c:v>
                </c:pt>
                <c:pt idx="70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93-4557-9887-17E435E64266}"/>
            </c:ext>
          </c:extLst>
        </c:ser>
        <c:ser>
          <c:idx val="3"/>
          <c:order val="3"/>
          <c:spPr>
            <a:noFill/>
            <a:ln w="9525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>
              <a:glow rad="63500">
                <a:schemeClr val="accent1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Sheet1!$A$1:$B$71</c:f>
              <c:multiLvlStrCache>
                <c:ptCount val="71"/>
                <c:lvl>
                  <c:pt idx="0">
                    <c:v>Name</c:v>
                  </c:pt>
                  <c:pt idx="1">
                    <c:v>Julia</c:v>
                  </c:pt>
                  <c:pt idx="2">
                    <c:v>James</c:v>
                  </c:pt>
                  <c:pt idx="3">
                    <c:v>Amelia</c:v>
                  </c:pt>
                  <c:pt idx="4">
                    <c:v>Freddy</c:v>
                  </c:pt>
                  <c:pt idx="5">
                    <c:v>Jeff</c:v>
                  </c:pt>
                  <c:pt idx="6">
                    <c:v>Jefferson</c:v>
                  </c:pt>
                  <c:pt idx="7">
                    <c:v>Clifford</c:v>
                  </c:pt>
                  <c:pt idx="8">
                    <c:v>Janay</c:v>
                  </c:pt>
                  <c:pt idx="9">
                    <c:v>Tanisha</c:v>
                  </c:pt>
                  <c:pt idx="10">
                    <c:v>Tre</c:v>
                  </c:pt>
                  <c:pt idx="11">
                    <c:v>Ariana</c:v>
                  </c:pt>
                  <c:pt idx="12">
                    <c:v>Marisela</c:v>
                  </c:pt>
                  <c:pt idx="13">
                    <c:v>Adrienne</c:v>
                  </c:pt>
                  <c:pt idx="14">
                    <c:v>Keegan</c:v>
                  </c:pt>
                  <c:pt idx="15">
                    <c:v>Nestor</c:v>
                  </c:pt>
                  <c:pt idx="16">
                    <c:v>Mari</c:v>
                  </c:pt>
                  <c:pt idx="17">
                    <c:v>Jerod</c:v>
                  </c:pt>
                  <c:pt idx="18">
                    <c:v>Graciela</c:v>
                  </c:pt>
                  <c:pt idx="19">
                    <c:v>Kenan</c:v>
                  </c:pt>
                  <c:pt idx="20">
                    <c:v>Andrea</c:v>
                  </c:pt>
                  <c:pt idx="21">
                    <c:v>Kolton</c:v>
                  </c:pt>
                  <c:pt idx="22">
                    <c:v>Dangelo</c:v>
                  </c:pt>
                  <c:pt idx="23">
                    <c:v>Louis</c:v>
                  </c:pt>
                  <c:pt idx="24">
                    <c:v>Kerry</c:v>
                  </c:pt>
                  <c:pt idx="25">
                    <c:v>Anne</c:v>
                  </c:pt>
                  <c:pt idx="26">
                    <c:v>Dangelo</c:v>
                  </c:pt>
                  <c:pt idx="27">
                    <c:v>Keisha</c:v>
                  </c:pt>
                  <c:pt idx="28">
                    <c:v>Dymond</c:v>
                  </c:pt>
                  <c:pt idx="29">
                    <c:v>Ingrid</c:v>
                  </c:pt>
                  <c:pt idx="30">
                    <c:v>Jaime</c:v>
                  </c:pt>
                  <c:pt idx="31">
                    <c:v>Lilly</c:v>
                  </c:pt>
                  <c:pt idx="32">
                    <c:v>Rogelio</c:v>
                  </c:pt>
                  <c:pt idx="33">
                    <c:v>Joshua</c:v>
                  </c:pt>
                  <c:pt idx="34">
                    <c:v>Lindsay</c:v>
                  </c:pt>
                  <c:pt idx="35">
                    <c:v>Audra</c:v>
                  </c:pt>
                  <c:pt idx="36">
                    <c:v>Aubrie</c:v>
                  </c:pt>
                  <c:pt idx="37">
                    <c:v>Pranav</c:v>
                  </c:pt>
                  <c:pt idx="38">
                    <c:v>Jordyn</c:v>
                  </c:pt>
                  <c:pt idx="39">
                    <c:v>Macie</c:v>
                  </c:pt>
                  <c:pt idx="40">
                    <c:v>Glen</c:v>
                  </c:pt>
                  <c:pt idx="41">
                    <c:v>Zayne</c:v>
                  </c:pt>
                  <c:pt idx="42">
                    <c:v>Samuel</c:v>
                  </c:pt>
                  <c:pt idx="43">
                    <c:v>Ester</c:v>
                  </c:pt>
                  <c:pt idx="44">
                    <c:v>Leandra</c:v>
                  </c:pt>
                  <c:pt idx="45">
                    <c:v>Emma</c:v>
                  </c:pt>
                  <c:pt idx="46">
                    <c:v>Efrain</c:v>
                  </c:pt>
                  <c:pt idx="47">
                    <c:v>Phillip</c:v>
                  </c:pt>
                  <c:pt idx="48">
                    <c:v>Judah</c:v>
                  </c:pt>
                  <c:pt idx="49">
                    <c:v>Keaton</c:v>
                  </c:pt>
                  <c:pt idx="50">
                    <c:v>Kavon</c:v>
                  </c:pt>
                  <c:pt idx="51">
                    <c:v>Allan</c:v>
                  </c:pt>
                  <c:pt idx="52">
                    <c:v>Jacinda</c:v>
                  </c:pt>
                  <c:pt idx="53">
                    <c:v>Caden</c:v>
                  </c:pt>
                  <c:pt idx="54">
                    <c:v>Tanya</c:v>
                  </c:pt>
                  <c:pt idx="55">
                    <c:v>Rosalinda</c:v>
                  </c:pt>
                  <c:pt idx="56">
                    <c:v>Raekwon</c:v>
                  </c:pt>
                  <c:pt idx="57">
                    <c:v>Jude</c:v>
                  </c:pt>
                  <c:pt idx="58">
                    <c:v>Dante</c:v>
                  </c:pt>
                  <c:pt idx="59">
                    <c:v>Jayden</c:v>
                  </c:pt>
                  <c:pt idx="60">
                    <c:v>Tianna</c:v>
                  </c:pt>
                  <c:pt idx="61">
                    <c:v>Dean Ling</c:v>
                  </c:pt>
                  <c:pt idx="62">
                    <c:v>Danae</c:v>
                  </c:pt>
                  <c:pt idx="63">
                    <c:v>Alvaro</c:v>
                  </c:pt>
                  <c:pt idx="64">
                    <c:v>Jayce</c:v>
                  </c:pt>
                  <c:pt idx="65">
                    <c:v>Tanner</c:v>
                  </c:pt>
                  <c:pt idx="66">
                    <c:v>Derek</c:v>
                  </c:pt>
                  <c:pt idx="67">
                    <c:v>Ellie</c:v>
                  </c:pt>
                  <c:pt idx="68">
                    <c:v>Alek</c:v>
                  </c:pt>
                  <c:pt idx="69">
                    <c:v>Riya</c:v>
                  </c:pt>
                  <c:pt idx="70">
                    <c:v>Cortney</c:v>
                  </c:pt>
                </c:lvl>
                <c:lvl>
                  <c:pt idx="0">
                    <c:v>Employee ID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</c:lvl>
              </c:multiLvlStrCache>
            </c:multiLvlStrRef>
          </c:cat>
          <c:val>
            <c:numRef>
              <c:f>Sheet1!$F$1:$F$71</c:f>
              <c:numCache>
                <c:formatCode>_("$"* #,##0.00_);_("$"* \(#,##0.00\);_("$"* "-"??_);_(@_)</c:formatCode>
                <c:ptCount val="71"/>
                <c:pt idx="0">
                  <c:v>0</c:v>
                </c:pt>
                <c:pt idx="14">
                  <c:v>62.160000000000004</c:v>
                </c:pt>
                <c:pt idx="15">
                  <c:v>147.63000000000002</c:v>
                </c:pt>
                <c:pt idx="16">
                  <c:v>157.08000000000001</c:v>
                </c:pt>
                <c:pt idx="17">
                  <c:v>223.44000000000003</c:v>
                </c:pt>
                <c:pt idx="18">
                  <c:v>209.44000000000003</c:v>
                </c:pt>
                <c:pt idx="19">
                  <c:v>88.2</c:v>
                </c:pt>
                <c:pt idx="20">
                  <c:v>159.39000000000001</c:v>
                </c:pt>
                <c:pt idx="21">
                  <c:v>65.52000000000001</c:v>
                </c:pt>
                <c:pt idx="22">
                  <c:v>109.20000000000002</c:v>
                </c:pt>
                <c:pt idx="23">
                  <c:v>262.08000000000004</c:v>
                </c:pt>
                <c:pt idx="24">
                  <c:v>149.38000000000002</c:v>
                </c:pt>
                <c:pt idx="25">
                  <c:v>445.76000000000005</c:v>
                </c:pt>
                <c:pt idx="26">
                  <c:v>123.20000000000002</c:v>
                </c:pt>
                <c:pt idx="27">
                  <c:v>152.88000000000002</c:v>
                </c:pt>
                <c:pt idx="28">
                  <c:v>126.94500000000001</c:v>
                </c:pt>
                <c:pt idx="29">
                  <c:v>79.800000000000011</c:v>
                </c:pt>
                <c:pt idx="30">
                  <c:v>147</c:v>
                </c:pt>
                <c:pt idx="31">
                  <c:v>94.39500000000001</c:v>
                </c:pt>
                <c:pt idx="32">
                  <c:v>106.92500000000001</c:v>
                </c:pt>
                <c:pt idx="33">
                  <c:v>155.4</c:v>
                </c:pt>
                <c:pt idx="34">
                  <c:v>202.16000000000003</c:v>
                </c:pt>
                <c:pt idx="35">
                  <c:v>221.34000000000003</c:v>
                </c:pt>
                <c:pt idx="36">
                  <c:v>127.68</c:v>
                </c:pt>
                <c:pt idx="37">
                  <c:v>112.00000000000001</c:v>
                </c:pt>
                <c:pt idx="38">
                  <c:v>156.24</c:v>
                </c:pt>
                <c:pt idx="39">
                  <c:v>77.035000000000011</c:v>
                </c:pt>
                <c:pt idx="40">
                  <c:v>81.34</c:v>
                </c:pt>
                <c:pt idx="41">
                  <c:v>141.12</c:v>
                </c:pt>
                <c:pt idx="42">
                  <c:v>127.05000000000001</c:v>
                </c:pt>
                <c:pt idx="43">
                  <c:v>121.80000000000001</c:v>
                </c:pt>
                <c:pt idx="44">
                  <c:v>144.30500000000001</c:v>
                </c:pt>
                <c:pt idx="45">
                  <c:v>75.67</c:v>
                </c:pt>
                <c:pt idx="46">
                  <c:v>62.160000000000004</c:v>
                </c:pt>
                <c:pt idx="47">
                  <c:v>267.33000000000004</c:v>
                </c:pt>
                <c:pt idx="48">
                  <c:v>133.28</c:v>
                </c:pt>
                <c:pt idx="49">
                  <c:v>220.78000000000003</c:v>
                </c:pt>
                <c:pt idx="50">
                  <c:v>179.20000000000002</c:v>
                </c:pt>
                <c:pt idx="51">
                  <c:v>147.42000000000002</c:v>
                </c:pt>
                <c:pt idx="52">
                  <c:v>122.36000000000001</c:v>
                </c:pt>
                <c:pt idx="53">
                  <c:v>139.965</c:v>
                </c:pt>
                <c:pt idx="54">
                  <c:v>80.290000000000006</c:v>
                </c:pt>
                <c:pt idx="55">
                  <c:v>93.240000000000009</c:v>
                </c:pt>
                <c:pt idx="56">
                  <c:v>143.22000000000003</c:v>
                </c:pt>
                <c:pt idx="57">
                  <c:v>138.18</c:v>
                </c:pt>
                <c:pt idx="58">
                  <c:v>157.08000000000001</c:v>
                </c:pt>
                <c:pt idx="59">
                  <c:v>93.100000000000009</c:v>
                </c:pt>
                <c:pt idx="60">
                  <c:v>164.22000000000003</c:v>
                </c:pt>
                <c:pt idx="61">
                  <c:v>95.76</c:v>
                </c:pt>
                <c:pt idx="62">
                  <c:v>145.60000000000002</c:v>
                </c:pt>
                <c:pt idx="63">
                  <c:v>262.08000000000004</c:v>
                </c:pt>
                <c:pt idx="64">
                  <c:v>74.690000000000012</c:v>
                </c:pt>
                <c:pt idx="65">
                  <c:v>215.91500000000002</c:v>
                </c:pt>
                <c:pt idx="66">
                  <c:v>123.20000000000002</c:v>
                </c:pt>
                <c:pt idx="67">
                  <c:v>131.04000000000002</c:v>
                </c:pt>
                <c:pt idx="68">
                  <c:v>126.94500000000001</c:v>
                </c:pt>
                <c:pt idx="69">
                  <c:v>58.52</c:v>
                </c:pt>
                <c:pt idx="70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93-4557-9887-17E435E64266}"/>
            </c:ext>
          </c:extLst>
        </c:ser>
        <c:ser>
          <c:idx val="4"/>
          <c:order val="4"/>
          <c:spPr>
            <a:noFill/>
            <a:ln w="9525" cap="flat" cmpd="sng" algn="ctr">
              <a:solidFill>
                <a:schemeClr val="accent3">
                  <a:lumMod val="60000"/>
                </a:schemeClr>
              </a:solidFill>
              <a:miter lim="800000"/>
            </a:ln>
            <a:effectLst>
              <a:glow rad="63500">
                <a:schemeClr val="accent3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Sheet1!$A$1:$B$71</c:f>
              <c:multiLvlStrCache>
                <c:ptCount val="71"/>
                <c:lvl>
                  <c:pt idx="0">
                    <c:v>Name</c:v>
                  </c:pt>
                  <c:pt idx="1">
                    <c:v>Julia</c:v>
                  </c:pt>
                  <c:pt idx="2">
                    <c:v>James</c:v>
                  </c:pt>
                  <c:pt idx="3">
                    <c:v>Amelia</c:v>
                  </c:pt>
                  <c:pt idx="4">
                    <c:v>Freddy</c:v>
                  </c:pt>
                  <c:pt idx="5">
                    <c:v>Jeff</c:v>
                  </c:pt>
                  <c:pt idx="6">
                    <c:v>Jefferson</c:v>
                  </c:pt>
                  <c:pt idx="7">
                    <c:v>Clifford</c:v>
                  </c:pt>
                  <c:pt idx="8">
                    <c:v>Janay</c:v>
                  </c:pt>
                  <c:pt idx="9">
                    <c:v>Tanisha</c:v>
                  </c:pt>
                  <c:pt idx="10">
                    <c:v>Tre</c:v>
                  </c:pt>
                  <c:pt idx="11">
                    <c:v>Ariana</c:v>
                  </c:pt>
                  <c:pt idx="12">
                    <c:v>Marisela</c:v>
                  </c:pt>
                  <c:pt idx="13">
                    <c:v>Adrienne</c:v>
                  </c:pt>
                  <c:pt idx="14">
                    <c:v>Keegan</c:v>
                  </c:pt>
                  <c:pt idx="15">
                    <c:v>Nestor</c:v>
                  </c:pt>
                  <c:pt idx="16">
                    <c:v>Mari</c:v>
                  </c:pt>
                  <c:pt idx="17">
                    <c:v>Jerod</c:v>
                  </c:pt>
                  <c:pt idx="18">
                    <c:v>Graciela</c:v>
                  </c:pt>
                  <c:pt idx="19">
                    <c:v>Kenan</c:v>
                  </c:pt>
                  <c:pt idx="20">
                    <c:v>Andrea</c:v>
                  </c:pt>
                  <c:pt idx="21">
                    <c:v>Kolton</c:v>
                  </c:pt>
                  <c:pt idx="22">
                    <c:v>Dangelo</c:v>
                  </c:pt>
                  <c:pt idx="23">
                    <c:v>Louis</c:v>
                  </c:pt>
                  <c:pt idx="24">
                    <c:v>Kerry</c:v>
                  </c:pt>
                  <c:pt idx="25">
                    <c:v>Anne</c:v>
                  </c:pt>
                  <c:pt idx="26">
                    <c:v>Dangelo</c:v>
                  </c:pt>
                  <c:pt idx="27">
                    <c:v>Keisha</c:v>
                  </c:pt>
                  <c:pt idx="28">
                    <c:v>Dymond</c:v>
                  </c:pt>
                  <c:pt idx="29">
                    <c:v>Ingrid</c:v>
                  </c:pt>
                  <c:pt idx="30">
                    <c:v>Jaime</c:v>
                  </c:pt>
                  <c:pt idx="31">
                    <c:v>Lilly</c:v>
                  </c:pt>
                  <c:pt idx="32">
                    <c:v>Rogelio</c:v>
                  </c:pt>
                  <c:pt idx="33">
                    <c:v>Joshua</c:v>
                  </c:pt>
                  <c:pt idx="34">
                    <c:v>Lindsay</c:v>
                  </c:pt>
                  <c:pt idx="35">
                    <c:v>Audra</c:v>
                  </c:pt>
                  <c:pt idx="36">
                    <c:v>Aubrie</c:v>
                  </c:pt>
                  <c:pt idx="37">
                    <c:v>Pranav</c:v>
                  </c:pt>
                  <c:pt idx="38">
                    <c:v>Jordyn</c:v>
                  </c:pt>
                  <c:pt idx="39">
                    <c:v>Macie</c:v>
                  </c:pt>
                  <c:pt idx="40">
                    <c:v>Glen</c:v>
                  </c:pt>
                  <c:pt idx="41">
                    <c:v>Zayne</c:v>
                  </c:pt>
                  <c:pt idx="42">
                    <c:v>Samuel</c:v>
                  </c:pt>
                  <c:pt idx="43">
                    <c:v>Ester</c:v>
                  </c:pt>
                  <c:pt idx="44">
                    <c:v>Leandra</c:v>
                  </c:pt>
                  <c:pt idx="45">
                    <c:v>Emma</c:v>
                  </c:pt>
                  <c:pt idx="46">
                    <c:v>Efrain</c:v>
                  </c:pt>
                  <c:pt idx="47">
                    <c:v>Phillip</c:v>
                  </c:pt>
                  <c:pt idx="48">
                    <c:v>Judah</c:v>
                  </c:pt>
                  <c:pt idx="49">
                    <c:v>Keaton</c:v>
                  </c:pt>
                  <c:pt idx="50">
                    <c:v>Kavon</c:v>
                  </c:pt>
                  <c:pt idx="51">
                    <c:v>Allan</c:v>
                  </c:pt>
                  <c:pt idx="52">
                    <c:v>Jacinda</c:v>
                  </c:pt>
                  <c:pt idx="53">
                    <c:v>Caden</c:v>
                  </c:pt>
                  <c:pt idx="54">
                    <c:v>Tanya</c:v>
                  </c:pt>
                  <c:pt idx="55">
                    <c:v>Rosalinda</c:v>
                  </c:pt>
                  <c:pt idx="56">
                    <c:v>Raekwon</c:v>
                  </c:pt>
                  <c:pt idx="57">
                    <c:v>Jude</c:v>
                  </c:pt>
                  <c:pt idx="58">
                    <c:v>Dante</c:v>
                  </c:pt>
                  <c:pt idx="59">
                    <c:v>Jayden</c:v>
                  </c:pt>
                  <c:pt idx="60">
                    <c:v>Tianna</c:v>
                  </c:pt>
                  <c:pt idx="61">
                    <c:v>Dean Ling</c:v>
                  </c:pt>
                  <c:pt idx="62">
                    <c:v>Danae</c:v>
                  </c:pt>
                  <c:pt idx="63">
                    <c:v>Alvaro</c:v>
                  </c:pt>
                  <c:pt idx="64">
                    <c:v>Jayce</c:v>
                  </c:pt>
                  <c:pt idx="65">
                    <c:v>Tanner</c:v>
                  </c:pt>
                  <c:pt idx="66">
                    <c:v>Derek</c:v>
                  </c:pt>
                  <c:pt idx="67">
                    <c:v>Ellie</c:v>
                  </c:pt>
                  <c:pt idx="68">
                    <c:v>Alek</c:v>
                  </c:pt>
                  <c:pt idx="69">
                    <c:v>Riya</c:v>
                  </c:pt>
                  <c:pt idx="70">
                    <c:v>Cortney</c:v>
                  </c:pt>
                </c:lvl>
                <c:lvl>
                  <c:pt idx="0">
                    <c:v>Employee ID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</c:lvl>
              </c:multiLvlStrCache>
            </c:multiLvlStrRef>
          </c:cat>
          <c:val>
            <c:numRef>
              <c:f>Sheet1!$G$1:$G$71</c:f>
              <c:numCache>
                <c:formatCode>General</c:formatCode>
                <c:ptCount val="7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93-4557-9887-17E435E64266}"/>
            </c:ext>
          </c:extLst>
        </c:ser>
        <c:ser>
          <c:idx val="5"/>
          <c:order val="5"/>
          <c:spPr>
            <a:noFill/>
            <a:ln w="9525" cap="flat" cmpd="sng" algn="ctr">
              <a:solidFill>
                <a:schemeClr val="accent5">
                  <a:lumMod val="60000"/>
                </a:schemeClr>
              </a:solidFill>
              <a:miter lim="800000"/>
            </a:ln>
            <a:effectLst>
              <a:glow rad="63500">
                <a:schemeClr val="accent5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Sheet1!$A$1:$B$71</c:f>
              <c:multiLvlStrCache>
                <c:ptCount val="71"/>
                <c:lvl>
                  <c:pt idx="0">
                    <c:v>Name</c:v>
                  </c:pt>
                  <c:pt idx="1">
                    <c:v>Julia</c:v>
                  </c:pt>
                  <c:pt idx="2">
                    <c:v>James</c:v>
                  </c:pt>
                  <c:pt idx="3">
                    <c:v>Amelia</c:v>
                  </c:pt>
                  <c:pt idx="4">
                    <c:v>Freddy</c:v>
                  </c:pt>
                  <c:pt idx="5">
                    <c:v>Jeff</c:v>
                  </c:pt>
                  <c:pt idx="6">
                    <c:v>Jefferson</c:v>
                  </c:pt>
                  <c:pt idx="7">
                    <c:v>Clifford</c:v>
                  </c:pt>
                  <c:pt idx="8">
                    <c:v>Janay</c:v>
                  </c:pt>
                  <c:pt idx="9">
                    <c:v>Tanisha</c:v>
                  </c:pt>
                  <c:pt idx="10">
                    <c:v>Tre</c:v>
                  </c:pt>
                  <c:pt idx="11">
                    <c:v>Ariana</c:v>
                  </c:pt>
                  <c:pt idx="12">
                    <c:v>Marisela</c:v>
                  </c:pt>
                  <c:pt idx="13">
                    <c:v>Adrienne</c:v>
                  </c:pt>
                  <c:pt idx="14">
                    <c:v>Keegan</c:v>
                  </c:pt>
                  <c:pt idx="15">
                    <c:v>Nestor</c:v>
                  </c:pt>
                  <c:pt idx="16">
                    <c:v>Mari</c:v>
                  </c:pt>
                  <c:pt idx="17">
                    <c:v>Jerod</c:v>
                  </c:pt>
                  <c:pt idx="18">
                    <c:v>Graciela</c:v>
                  </c:pt>
                  <c:pt idx="19">
                    <c:v>Kenan</c:v>
                  </c:pt>
                  <c:pt idx="20">
                    <c:v>Andrea</c:v>
                  </c:pt>
                  <c:pt idx="21">
                    <c:v>Kolton</c:v>
                  </c:pt>
                  <c:pt idx="22">
                    <c:v>Dangelo</c:v>
                  </c:pt>
                  <c:pt idx="23">
                    <c:v>Louis</c:v>
                  </c:pt>
                  <c:pt idx="24">
                    <c:v>Kerry</c:v>
                  </c:pt>
                  <c:pt idx="25">
                    <c:v>Anne</c:v>
                  </c:pt>
                  <c:pt idx="26">
                    <c:v>Dangelo</c:v>
                  </c:pt>
                  <c:pt idx="27">
                    <c:v>Keisha</c:v>
                  </c:pt>
                  <c:pt idx="28">
                    <c:v>Dymond</c:v>
                  </c:pt>
                  <c:pt idx="29">
                    <c:v>Ingrid</c:v>
                  </c:pt>
                  <c:pt idx="30">
                    <c:v>Jaime</c:v>
                  </c:pt>
                  <c:pt idx="31">
                    <c:v>Lilly</c:v>
                  </c:pt>
                  <c:pt idx="32">
                    <c:v>Rogelio</c:v>
                  </c:pt>
                  <c:pt idx="33">
                    <c:v>Joshua</c:v>
                  </c:pt>
                  <c:pt idx="34">
                    <c:v>Lindsay</c:v>
                  </c:pt>
                  <c:pt idx="35">
                    <c:v>Audra</c:v>
                  </c:pt>
                  <c:pt idx="36">
                    <c:v>Aubrie</c:v>
                  </c:pt>
                  <c:pt idx="37">
                    <c:v>Pranav</c:v>
                  </c:pt>
                  <c:pt idx="38">
                    <c:v>Jordyn</c:v>
                  </c:pt>
                  <c:pt idx="39">
                    <c:v>Macie</c:v>
                  </c:pt>
                  <c:pt idx="40">
                    <c:v>Glen</c:v>
                  </c:pt>
                  <c:pt idx="41">
                    <c:v>Zayne</c:v>
                  </c:pt>
                  <c:pt idx="42">
                    <c:v>Samuel</c:v>
                  </c:pt>
                  <c:pt idx="43">
                    <c:v>Ester</c:v>
                  </c:pt>
                  <c:pt idx="44">
                    <c:v>Leandra</c:v>
                  </c:pt>
                  <c:pt idx="45">
                    <c:v>Emma</c:v>
                  </c:pt>
                  <c:pt idx="46">
                    <c:v>Efrain</c:v>
                  </c:pt>
                  <c:pt idx="47">
                    <c:v>Phillip</c:v>
                  </c:pt>
                  <c:pt idx="48">
                    <c:v>Judah</c:v>
                  </c:pt>
                  <c:pt idx="49">
                    <c:v>Keaton</c:v>
                  </c:pt>
                  <c:pt idx="50">
                    <c:v>Kavon</c:v>
                  </c:pt>
                  <c:pt idx="51">
                    <c:v>Allan</c:v>
                  </c:pt>
                  <c:pt idx="52">
                    <c:v>Jacinda</c:v>
                  </c:pt>
                  <c:pt idx="53">
                    <c:v>Caden</c:v>
                  </c:pt>
                  <c:pt idx="54">
                    <c:v>Tanya</c:v>
                  </c:pt>
                  <c:pt idx="55">
                    <c:v>Rosalinda</c:v>
                  </c:pt>
                  <c:pt idx="56">
                    <c:v>Raekwon</c:v>
                  </c:pt>
                  <c:pt idx="57">
                    <c:v>Jude</c:v>
                  </c:pt>
                  <c:pt idx="58">
                    <c:v>Dante</c:v>
                  </c:pt>
                  <c:pt idx="59">
                    <c:v>Jayden</c:v>
                  </c:pt>
                  <c:pt idx="60">
                    <c:v>Tianna</c:v>
                  </c:pt>
                  <c:pt idx="61">
                    <c:v>Dean Ling</c:v>
                  </c:pt>
                  <c:pt idx="62">
                    <c:v>Danae</c:v>
                  </c:pt>
                  <c:pt idx="63">
                    <c:v>Alvaro</c:v>
                  </c:pt>
                  <c:pt idx="64">
                    <c:v>Jayce</c:v>
                  </c:pt>
                  <c:pt idx="65">
                    <c:v>Tanner</c:v>
                  </c:pt>
                  <c:pt idx="66">
                    <c:v>Derek</c:v>
                  </c:pt>
                  <c:pt idx="67">
                    <c:v>Ellie</c:v>
                  </c:pt>
                  <c:pt idx="68">
                    <c:v>Alek</c:v>
                  </c:pt>
                  <c:pt idx="69">
                    <c:v>Riya</c:v>
                  </c:pt>
                  <c:pt idx="70">
                    <c:v>Cortney</c:v>
                  </c:pt>
                </c:lvl>
                <c:lvl>
                  <c:pt idx="0">
                    <c:v>Employee ID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</c:lvl>
              </c:multiLvlStrCache>
            </c:multiLvlStrRef>
          </c:cat>
          <c:val>
            <c:numRef>
              <c:f>Sheet1!$H$1:$H$71</c:f>
              <c:numCache>
                <c:formatCode>General</c:formatCode>
                <c:ptCount val="71"/>
                <c:pt idx="0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93-4557-9887-17E435E64266}"/>
            </c:ext>
          </c:extLst>
        </c:ser>
        <c:ser>
          <c:idx val="6"/>
          <c:order val="6"/>
          <c:spPr>
            <a:noFill/>
            <a:ln w="9525" cap="flat" cmpd="sng" algn="ctr">
              <a:solidFill>
                <a:schemeClr val="accent1">
                  <a:lumMod val="80000"/>
                  <a:lumOff val="20000"/>
                </a:schemeClr>
              </a:solidFill>
              <a:miter lim="800000"/>
            </a:ln>
            <a:effectLst>
              <a:glow rad="63500">
                <a:schemeClr val="accent1">
                  <a:lumMod val="80000"/>
                  <a:lumOff val="20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Sheet1!$A$1:$B$71</c:f>
              <c:multiLvlStrCache>
                <c:ptCount val="71"/>
                <c:lvl>
                  <c:pt idx="0">
                    <c:v>Name</c:v>
                  </c:pt>
                  <c:pt idx="1">
                    <c:v>Julia</c:v>
                  </c:pt>
                  <c:pt idx="2">
                    <c:v>James</c:v>
                  </c:pt>
                  <c:pt idx="3">
                    <c:v>Amelia</c:v>
                  </c:pt>
                  <c:pt idx="4">
                    <c:v>Freddy</c:v>
                  </c:pt>
                  <c:pt idx="5">
                    <c:v>Jeff</c:v>
                  </c:pt>
                  <c:pt idx="6">
                    <c:v>Jefferson</c:v>
                  </c:pt>
                  <c:pt idx="7">
                    <c:v>Clifford</c:v>
                  </c:pt>
                  <c:pt idx="8">
                    <c:v>Janay</c:v>
                  </c:pt>
                  <c:pt idx="9">
                    <c:v>Tanisha</c:v>
                  </c:pt>
                  <c:pt idx="10">
                    <c:v>Tre</c:v>
                  </c:pt>
                  <c:pt idx="11">
                    <c:v>Ariana</c:v>
                  </c:pt>
                  <c:pt idx="12">
                    <c:v>Marisela</c:v>
                  </c:pt>
                  <c:pt idx="13">
                    <c:v>Adrienne</c:v>
                  </c:pt>
                  <c:pt idx="14">
                    <c:v>Keegan</c:v>
                  </c:pt>
                  <c:pt idx="15">
                    <c:v>Nestor</c:v>
                  </c:pt>
                  <c:pt idx="16">
                    <c:v>Mari</c:v>
                  </c:pt>
                  <c:pt idx="17">
                    <c:v>Jerod</c:v>
                  </c:pt>
                  <c:pt idx="18">
                    <c:v>Graciela</c:v>
                  </c:pt>
                  <c:pt idx="19">
                    <c:v>Kenan</c:v>
                  </c:pt>
                  <c:pt idx="20">
                    <c:v>Andrea</c:v>
                  </c:pt>
                  <c:pt idx="21">
                    <c:v>Kolton</c:v>
                  </c:pt>
                  <c:pt idx="22">
                    <c:v>Dangelo</c:v>
                  </c:pt>
                  <c:pt idx="23">
                    <c:v>Louis</c:v>
                  </c:pt>
                  <c:pt idx="24">
                    <c:v>Kerry</c:v>
                  </c:pt>
                  <c:pt idx="25">
                    <c:v>Anne</c:v>
                  </c:pt>
                  <c:pt idx="26">
                    <c:v>Dangelo</c:v>
                  </c:pt>
                  <c:pt idx="27">
                    <c:v>Keisha</c:v>
                  </c:pt>
                  <c:pt idx="28">
                    <c:v>Dymond</c:v>
                  </c:pt>
                  <c:pt idx="29">
                    <c:v>Ingrid</c:v>
                  </c:pt>
                  <c:pt idx="30">
                    <c:v>Jaime</c:v>
                  </c:pt>
                  <c:pt idx="31">
                    <c:v>Lilly</c:v>
                  </c:pt>
                  <c:pt idx="32">
                    <c:v>Rogelio</c:v>
                  </c:pt>
                  <c:pt idx="33">
                    <c:v>Joshua</c:v>
                  </c:pt>
                  <c:pt idx="34">
                    <c:v>Lindsay</c:v>
                  </c:pt>
                  <c:pt idx="35">
                    <c:v>Audra</c:v>
                  </c:pt>
                  <c:pt idx="36">
                    <c:v>Aubrie</c:v>
                  </c:pt>
                  <c:pt idx="37">
                    <c:v>Pranav</c:v>
                  </c:pt>
                  <c:pt idx="38">
                    <c:v>Jordyn</c:v>
                  </c:pt>
                  <c:pt idx="39">
                    <c:v>Macie</c:v>
                  </c:pt>
                  <c:pt idx="40">
                    <c:v>Glen</c:v>
                  </c:pt>
                  <c:pt idx="41">
                    <c:v>Zayne</c:v>
                  </c:pt>
                  <c:pt idx="42">
                    <c:v>Samuel</c:v>
                  </c:pt>
                  <c:pt idx="43">
                    <c:v>Ester</c:v>
                  </c:pt>
                  <c:pt idx="44">
                    <c:v>Leandra</c:v>
                  </c:pt>
                  <c:pt idx="45">
                    <c:v>Emma</c:v>
                  </c:pt>
                  <c:pt idx="46">
                    <c:v>Efrain</c:v>
                  </c:pt>
                  <c:pt idx="47">
                    <c:v>Phillip</c:v>
                  </c:pt>
                  <c:pt idx="48">
                    <c:v>Judah</c:v>
                  </c:pt>
                  <c:pt idx="49">
                    <c:v>Keaton</c:v>
                  </c:pt>
                  <c:pt idx="50">
                    <c:v>Kavon</c:v>
                  </c:pt>
                  <c:pt idx="51">
                    <c:v>Allan</c:v>
                  </c:pt>
                  <c:pt idx="52">
                    <c:v>Jacinda</c:v>
                  </c:pt>
                  <c:pt idx="53">
                    <c:v>Caden</c:v>
                  </c:pt>
                  <c:pt idx="54">
                    <c:v>Tanya</c:v>
                  </c:pt>
                  <c:pt idx="55">
                    <c:v>Rosalinda</c:v>
                  </c:pt>
                  <c:pt idx="56">
                    <c:v>Raekwon</c:v>
                  </c:pt>
                  <c:pt idx="57">
                    <c:v>Jude</c:v>
                  </c:pt>
                  <c:pt idx="58">
                    <c:v>Dante</c:v>
                  </c:pt>
                  <c:pt idx="59">
                    <c:v>Jayden</c:v>
                  </c:pt>
                  <c:pt idx="60">
                    <c:v>Tianna</c:v>
                  </c:pt>
                  <c:pt idx="61">
                    <c:v>Dean Ling</c:v>
                  </c:pt>
                  <c:pt idx="62">
                    <c:v>Danae</c:v>
                  </c:pt>
                  <c:pt idx="63">
                    <c:v>Alvaro</c:v>
                  </c:pt>
                  <c:pt idx="64">
                    <c:v>Jayce</c:v>
                  </c:pt>
                  <c:pt idx="65">
                    <c:v>Tanner</c:v>
                  </c:pt>
                  <c:pt idx="66">
                    <c:v>Derek</c:v>
                  </c:pt>
                  <c:pt idx="67">
                    <c:v>Ellie</c:v>
                  </c:pt>
                  <c:pt idx="68">
                    <c:v>Alek</c:v>
                  </c:pt>
                  <c:pt idx="69">
                    <c:v>Riya</c:v>
                  </c:pt>
                  <c:pt idx="70">
                    <c:v>Cortney</c:v>
                  </c:pt>
                </c:lvl>
                <c:lvl>
                  <c:pt idx="0">
                    <c:v>Employee ID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</c:lvl>
              </c:multiLvlStrCache>
            </c:multiLvlStrRef>
          </c:cat>
          <c:val>
            <c:numRef>
              <c:f>Sheet1!$I$1:$I$71</c:f>
              <c:numCache>
                <c:formatCode>General</c:formatCode>
                <c:ptCount val="7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93-4557-9887-17E435E64266}"/>
            </c:ext>
          </c:extLst>
        </c:ser>
        <c:ser>
          <c:idx val="7"/>
          <c:order val="7"/>
          <c:spPr>
            <a:noFill/>
            <a:ln w="9525" cap="flat" cmpd="sng" algn="ctr">
              <a:solidFill>
                <a:schemeClr val="accent3">
                  <a:lumMod val="80000"/>
                  <a:lumOff val="20000"/>
                </a:schemeClr>
              </a:solidFill>
              <a:miter lim="800000"/>
            </a:ln>
            <a:effectLst>
              <a:glow rad="63500">
                <a:schemeClr val="accent3">
                  <a:lumMod val="80000"/>
                  <a:lumOff val="20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Sheet1!$A$1:$B$71</c:f>
              <c:multiLvlStrCache>
                <c:ptCount val="71"/>
                <c:lvl>
                  <c:pt idx="0">
                    <c:v>Name</c:v>
                  </c:pt>
                  <c:pt idx="1">
                    <c:v>Julia</c:v>
                  </c:pt>
                  <c:pt idx="2">
                    <c:v>James</c:v>
                  </c:pt>
                  <c:pt idx="3">
                    <c:v>Amelia</c:v>
                  </c:pt>
                  <c:pt idx="4">
                    <c:v>Freddy</c:v>
                  </c:pt>
                  <c:pt idx="5">
                    <c:v>Jeff</c:v>
                  </c:pt>
                  <c:pt idx="6">
                    <c:v>Jefferson</c:v>
                  </c:pt>
                  <c:pt idx="7">
                    <c:v>Clifford</c:v>
                  </c:pt>
                  <c:pt idx="8">
                    <c:v>Janay</c:v>
                  </c:pt>
                  <c:pt idx="9">
                    <c:v>Tanisha</c:v>
                  </c:pt>
                  <c:pt idx="10">
                    <c:v>Tre</c:v>
                  </c:pt>
                  <c:pt idx="11">
                    <c:v>Ariana</c:v>
                  </c:pt>
                  <c:pt idx="12">
                    <c:v>Marisela</c:v>
                  </c:pt>
                  <c:pt idx="13">
                    <c:v>Adrienne</c:v>
                  </c:pt>
                  <c:pt idx="14">
                    <c:v>Keegan</c:v>
                  </c:pt>
                  <c:pt idx="15">
                    <c:v>Nestor</c:v>
                  </c:pt>
                  <c:pt idx="16">
                    <c:v>Mari</c:v>
                  </c:pt>
                  <c:pt idx="17">
                    <c:v>Jerod</c:v>
                  </c:pt>
                  <c:pt idx="18">
                    <c:v>Graciela</c:v>
                  </c:pt>
                  <c:pt idx="19">
                    <c:v>Kenan</c:v>
                  </c:pt>
                  <c:pt idx="20">
                    <c:v>Andrea</c:v>
                  </c:pt>
                  <c:pt idx="21">
                    <c:v>Kolton</c:v>
                  </c:pt>
                  <c:pt idx="22">
                    <c:v>Dangelo</c:v>
                  </c:pt>
                  <c:pt idx="23">
                    <c:v>Louis</c:v>
                  </c:pt>
                  <c:pt idx="24">
                    <c:v>Kerry</c:v>
                  </c:pt>
                  <c:pt idx="25">
                    <c:v>Anne</c:v>
                  </c:pt>
                  <c:pt idx="26">
                    <c:v>Dangelo</c:v>
                  </c:pt>
                  <c:pt idx="27">
                    <c:v>Keisha</c:v>
                  </c:pt>
                  <c:pt idx="28">
                    <c:v>Dymond</c:v>
                  </c:pt>
                  <c:pt idx="29">
                    <c:v>Ingrid</c:v>
                  </c:pt>
                  <c:pt idx="30">
                    <c:v>Jaime</c:v>
                  </c:pt>
                  <c:pt idx="31">
                    <c:v>Lilly</c:v>
                  </c:pt>
                  <c:pt idx="32">
                    <c:v>Rogelio</c:v>
                  </c:pt>
                  <c:pt idx="33">
                    <c:v>Joshua</c:v>
                  </c:pt>
                  <c:pt idx="34">
                    <c:v>Lindsay</c:v>
                  </c:pt>
                  <c:pt idx="35">
                    <c:v>Audra</c:v>
                  </c:pt>
                  <c:pt idx="36">
                    <c:v>Aubrie</c:v>
                  </c:pt>
                  <c:pt idx="37">
                    <c:v>Pranav</c:v>
                  </c:pt>
                  <c:pt idx="38">
                    <c:v>Jordyn</c:v>
                  </c:pt>
                  <c:pt idx="39">
                    <c:v>Macie</c:v>
                  </c:pt>
                  <c:pt idx="40">
                    <c:v>Glen</c:v>
                  </c:pt>
                  <c:pt idx="41">
                    <c:v>Zayne</c:v>
                  </c:pt>
                  <c:pt idx="42">
                    <c:v>Samuel</c:v>
                  </c:pt>
                  <c:pt idx="43">
                    <c:v>Ester</c:v>
                  </c:pt>
                  <c:pt idx="44">
                    <c:v>Leandra</c:v>
                  </c:pt>
                  <c:pt idx="45">
                    <c:v>Emma</c:v>
                  </c:pt>
                  <c:pt idx="46">
                    <c:v>Efrain</c:v>
                  </c:pt>
                  <c:pt idx="47">
                    <c:v>Phillip</c:v>
                  </c:pt>
                  <c:pt idx="48">
                    <c:v>Judah</c:v>
                  </c:pt>
                  <c:pt idx="49">
                    <c:v>Keaton</c:v>
                  </c:pt>
                  <c:pt idx="50">
                    <c:v>Kavon</c:v>
                  </c:pt>
                  <c:pt idx="51">
                    <c:v>Allan</c:v>
                  </c:pt>
                  <c:pt idx="52">
                    <c:v>Jacinda</c:v>
                  </c:pt>
                  <c:pt idx="53">
                    <c:v>Caden</c:v>
                  </c:pt>
                  <c:pt idx="54">
                    <c:v>Tanya</c:v>
                  </c:pt>
                  <c:pt idx="55">
                    <c:v>Rosalinda</c:v>
                  </c:pt>
                  <c:pt idx="56">
                    <c:v>Raekwon</c:v>
                  </c:pt>
                  <c:pt idx="57">
                    <c:v>Jude</c:v>
                  </c:pt>
                  <c:pt idx="58">
                    <c:v>Dante</c:v>
                  </c:pt>
                  <c:pt idx="59">
                    <c:v>Jayden</c:v>
                  </c:pt>
                  <c:pt idx="60">
                    <c:v>Tianna</c:v>
                  </c:pt>
                  <c:pt idx="61">
                    <c:v>Dean Ling</c:v>
                  </c:pt>
                  <c:pt idx="62">
                    <c:v>Danae</c:v>
                  </c:pt>
                  <c:pt idx="63">
                    <c:v>Alvaro</c:v>
                  </c:pt>
                  <c:pt idx="64">
                    <c:v>Jayce</c:v>
                  </c:pt>
                  <c:pt idx="65">
                    <c:v>Tanner</c:v>
                  </c:pt>
                  <c:pt idx="66">
                    <c:v>Derek</c:v>
                  </c:pt>
                  <c:pt idx="67">
                    <c:v>Ellie</c:v>
                  </c:pt>
                  <c:pt idx="68">
                    <c:v>Alek</c:v>
                  </c:pt>
                  <c:pt idx="69">
                    <c:v>Riya</c:v>
                  </c:pt>
                  <c:pt idx="70">
                    <c:v>Cortney</c:v>
                  </c:pt>
                </c:lvl>
                <c:lvl>
                  <c:pt idx="0">
                    <c:v>Employee ID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</c:lvl>
              </c:multiLvlStrCache>
            </c:multiLvlStrRef>
          </c:cat>
          <c:val>
            <c:numRef>
              <c:f>Sheet1!$J$1:$J$71</c:f>
              <c:numCache>
                <c:formatCode>General</c:formatCode>
                <c:ptCount val="71"/>
                <c:pt idx="1">
                  <c:v>2251.5</c:v>
                </c:pt>
                <c:pt idx="2">
                  <c:v>2480</c:v>
                </c:pt>
                <c:pt idx="3">
                  <c:v>2125</c:v>
                </c:pt>
                <c:pt idx="4">
                  <c:v>2268.75</c:v>
                </c:pt>
                <c:pt idx="5">
                  <c:v>2232</c:v>
                </c:pt>
                <c:pt idx="6">
                  <c:v>2958</c:v>
                </c:pt>
                <c:pt idx="7">
                  <c:v>2213.75</c:v>
                </c:pt>
                <c:pt idx="8">
                  <c:v>1069.5</c:v>
                </c:pt>
                <c:pt idx="9">
                  <c:v>913.75</c:v>
                </c:pt>
                <c:pt idx="10">
                  <c:v>1813.5</c:v>
                </c:pt>
                <c:pt idx="11">
                  <c:v>1920</c:v>
                </c:pt>
                <c:pt idx="12">
                  <c:v>2356</c:v>
                </c:pt>
                <c:pt idx="13">
                  <c:v>1515.75</c:v>
                </c:pt>
                <c:pt idx="14">
                  <c:v>888</c:v>
                </c:pt>
                <c:pt idx="15">
                  <c:v>2109</c:v>
                </c:pt>
                <c:pt idx="16">
                  <c:v>2244</c:v>
                </c:pt>
                <c:pt idx="17">
                  <c:v>3192</c:v>
                </c:pt>
                <c:pt idx="18">
                  <c:v>2992</c:v>
                </c:pt>
                <c:pt idx="19">
                  <c:v>1260</c:v>
                </c:pt>
                <c:pt idx="20">
                  <c:v>2277</c:v>
                </c:pt>
                <c:pt idx="21">
                  <c:v>936</c:v>
                </c:pt>
                <c:pt idx="22">
                  <c:v>1560</c:v>
                </c:pt>
                <c:pt idx="23">
                  <c:v>3744</c:v>
                </c:pt>
                <c:pt idx="24">
                  <c:v>2134</c:v>
                </c:pt>
                <c:pt idx="25">
                  <c:v>6368</c:v>
                </c:pt>
                <c:pt idx="26">
                  <c:v>1760</c:v>
                </c:pt>
                <c:pt idx="27">
                  <c:v>2184</c:v>
                </c:pt>
                <c:pt idx="28">
                  <c:v>1813.5</c:v>
                </c:pt>
                <c:pt idx="29">
                  <c:v>1140</c:v>
                </c:pt>
                <c:pt idx="30">
                  <c:v>2100</c:v>
                </c:pt>
                <c:pt idx="31">
                  <c:v>1348.5</c:v>
                </c:pt>
                <c:pt idx="32">
                  <c:v>1527.5</c:v>
                </c:pt>
                <c:pt idx="33">
                  <c:v>2220</c:v>
                </c:pt>
                <c:pt idx="34">
                  <c:v>2888</c:v>
                </c:pt>
                <c:pt idx="35">
                  <c:v>3162</c:v>
                </c:pt>
                <c:pt idx="36">
                  <c:v>1824</c:v>
                </c:pt>
                <c:pt idx="37">
                  <c:v>1600</c:v>
                </c:pt>
                <c:pt idx="38">
                  <c:v>2232</c:v>
                </c:pt>
                <c:pt idx="39">
                  <c:v>1100.5</c:v>
                </c:pt>
                <c:pt idx="40">
                  <c:v>1162</c:v>
                </c:pt>
                <c:pt idx="41">
                  <c:v>2016</c:v>
                </c:pt>
                <c:pt idx="42">
                  <c:v>1815</c:v>
                </c:pt>
                <c:pt idx="43">
                  <c:v>1740</c:v>
                </c:pt>
                <c:pt idx="44">
                  <c:v>2061.5</c:v>
                </c:pt>
                <c:pt idx="45">
                  <c:v>1081</c:v>
                </c:pt>
                <c:pt idx="46">
                  <c:v>888</c:v>
                </c:pt>
                <c:pt idx="47">
                  <c:v>3819</c:v>
                </c:pt>
                <c:pt idx="48">
                  <c:v>1904</c:v>
                </c:pt>
                <c:pt idx="49">
                  <c:v>3154</c:v>
                </c:pt>
                <c:pt idx="50">
                  <c:v>2560</c:v>
                </c:pt>
                <c:pt idx="51">
                  <c:v>2106</c:v>
                </c:pt>
                <c:pt idx="52" formatCode="&quot;₩&quot;#,##0_);[Red]\(&quot;₩&quot;#,##0\)">
                  <c:v>1748</c:v>
                </c:pt>
                <c:pt idx="53">
                  <c:v>1999.5</c:v>
                </c:pt>
                <c:pt idx="54">
                  <c:v>1147</c:v>
                </c:pt>
                <c:pt idx="55">
                  <c:v>1332</c:v>
                </c:pt>
                <c:pt idx="56">
                  <c:v>2046</c:v>
                </c:pt>
                <c:pt idx="57">
                  <c:v>1974</c:v>
                </c:pt>
                <c:pt idx="58">
                  <c:v>2244</c:v>
                </c:pt>
                <c:pt idx="59" formatCode="_-\$* #,##0.00_ ;_-\$* \-#,##0.00\ ;_-\$* &quot;-&quot;??_ ;_-@_ ">
                  <c:v>1330</c:v>
                </c:pt>
                <c:pt idx="60">
                  <c:v>2346</c:v>
                </c:pt>
                <c:pt idx="61">
                  <c:v>1368</c:v>
                </c:pt>
                <c:pt idx="62">
                  <c:v>2080</c:v>
                </c:pt>
                <c:pt idx="63">
                  <c:v>3744</c:v>
                </c:pt>
                <c:pt idx="64">
                  <c:v>1067</c:v>
                </c:pt>
                <c:pt idx="65">
                  <c:v>3084.5</c:v>
                </c:pt>
                <c:pt idx="66">
                  <c:v>1760</c:v>
                </c:pt>
                <c:pt idx="67">
                  <c:v>1872</c:v>
                </c:pt>
                <c:pt idx="68">
                  <c:v>1813.5</c:v>
                </c:pt>
                <c:pt idx="69">
                  <c:v>836</c:v>
                </c:pt>
                <c:pt idx="70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193-4557-9887-17E435E642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434433280"/>
        <c:axId val="1434433760"/>
      </c:barChart>
      <c:catAx>
        <c:axId val="143443328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34433760"/>
        <c:crosses val="autoZero"/>
        <c:auto val="1"/>
        <c:lblAlgn val="ctr"/>
        <c:lblOffset val="100"/>
        <c:noMultiLvlLbl val="0"/>
      </c:catAx>
      <c:valAx>
        <c:axId val="1434433760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143443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516142</xdr:colOff>
      <xdr:row>9</xdr:row>
      <xdr:rowOff>195580</xdr:rowOff>
    </xdr:from>
    <xdr:to>
      <xdr:col>5</xdr:col>
      <xdr:colOff>871220</xdr:colOff>
      <xdr:row>22</xdr:row>
      <xdr:rowOff>149860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3191F9-4014-520F-1039-D881B32ED8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31750</xdr:colOff>
      <xdr:row>2</xdr:row>
      <xdr:rowOff>107950</xdr:rowOff>
    </xdr:from>
    <xdr:to>
      <xdr:col>23</xdr:col>
      <xdr:colOff>31750</xdr:colOff>
      <xdr:row>110</xdr:row>
      <xdr:rowOff>44450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56B52C5-E134-4657-9EBC-ACB5766704AE}"/>
            </a:ext>
          </a:extLst>
        </xdr:cNvPr>
        <xdr:cNvSpPr txBox="1"/>
      </xdr:nvSpPr>
      <xdr:spPr>
        <a:xfrm>
          <a:off x="9512300" y="539750"/>
          <a:ext cx="8928100" cy="232664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-</a:t>
          </a:r>
          <a:r>
            <a:rPr lang="ko-KR" altLang="en-US" sz="1100"/>
            <a:t>좌측하단 </a:t>
          </a:r>
          <a:r>
            <a:rPr lang="en-US" altLang="ko-KR" sz="1100"/>
            <a:t>sheet=spreadsheet, </a:t>
          </a:r>
          <a:r>
            <a:rPr lang="ko-KR" altLang="en-US" sz="1100"/>
            <a:t>여러개의 </a:t>
          </a:r>
          <a:r>
            <a:rPr lang="en-US" altLang="ko-KR" sz="1100"/>
            <a:t>sheet (+ sign</a:t>
          </a:r>
          <a:r>
            <a:rPr lang="ko-KR" altLang="en-US" sz="1100"/>
            <a:t>으로 추가</a:t>
          </a:r>
          <a:r>
            <a:rPr lang="en-US" altLang="ko-KR" sz="1100"/>
            <a:t>) </a:t>
          </a:r>
          <a:r>
            <a:rPr lang="ko-KR" altLang="en-US" sz="1100"/>
            <a:t>묶어서 </a:t>
          </a:r>
          <a:r>
            <a:rPr lang="en-US" altLang="ko-KR" sz="1100"/>
            <a:t>workbook</a:t>
          </a:r>
        </a:p>
        <a:p>
          <a:r>
            <a:rPr lang="en-US" altLang="ko-KR" sz="1100"/>
            <a:t>-Range; </a:t>
          </a:r>
          <a:r>
            <a:rPr lang="ko-KR" altLang="en-US" sz="1100"/>
            <a:t>셀의 묶음</a:t>
          </a:r>
          <a:r>
            <a:rPr lang="en-US" altLang="ko-KR" sz="1100"/>
            <a:t>; C2:J14(</a:t>
          </a:r>
          <a:r>
            <a:rPr lang="en-US" altLang="ko-KR" sz="1100" baseline="0"/>
            <a:t> : is read as "through")</a:t>
          </a:r>
        </a:p>
        <a:p>
          <a:r>
            <a:rPr lang="en-US" altLang="ko-KR" sz="1100" baseline="0"/>
            <a:t>-</a:t>
          </a:r>
          <a:r>
            <a:rPr lang="ko-KR" altLang="en-US" sz="1100" baseline="0"/>
            <a:t>스크린 위의 기능 분할 섹션</a:t>
          </a:r>
          <a:r>
            <a:rPr lang="en-US" altLang="ko-KR" sz="1100" baseline="0"/>
            <a:t>: Tabs</a:t>
          </a:r>
        </a:p>
        <a:p>
          <a:r>
            <a:rPr lang="en-US" altLang="ko-KR" sz="1100" baseline="0"/>
            <a:t>-Tab</a:t>
          </a:r>
          <a:r>
            <a:rPr lang="ko-KR" altLang="en-US" sz="1100" baseline="0"/>
            <a:t>하나에 들어가면 나오는 기능들 </a:t>
          </a:r>
          <a:r>
            <a:rPr lang="en-US" altLang="ko-KR" sz="1100" baseline="0"/>
            <a:t>: Ribbon</a:t>
          </a:r>
        </a:p>
        <a:p>
          <a:r>
            <a:rPr lang="en-US" altLang="ko-KR" sz="1100" baseline="0"/>
            <a:t>-Ribbons are divided into Groups</a:t>
          </a:r>
        </a:p>
        <a:p>
          <a:r>
            <a:rPr lang="en-US" altLang="ko-KR" sz="1100" baseline="0"/>
            <a:t>-Some groups have Launch  Button(when a group space is not big enough)</a:t>
          </a:r>
        </a:p>
        <a:p>
          <a:r>
            <a:rPr lang="en-US" altLang="ko-KR" sz="1100" baseline="0"/>
            <a:t>-</a:t>
          </a:r>
          <a:r>
            <a:rPr lang="ko-KR" altLang="en-US" sz="1100" baseline="0"/>
            <a:t>좌측상단 </a:t>
          </a:r>
          <a:r>
            <a:rPr lang="en-US" altLang="ko-KR" sz="1100" baseline="0"/>
            <a:t>Name bar</a:t>
          </a:r>
        </a:p>
        <a:p>
          <a:r>
            <a:rPr lang="en-US" altLang="ko-KR" sz="1100" baseline="0"/>
            <a:t>-</a:t>
          </a:r>
          <a:r>
            <a:rPr lang="ko-KR" altLang="en-US" sz="1100" baseline="0"/>
            <a:t>가장 길고 얇은 위 줄</a:t>
          </a:r>
          <a:r>
            <a:rPr lang="en-US" altLang="ko-KR" sz="1100" baseline="0"/>
            <a:t>:Formula Bar</a:t>
          </a:r>
        </a:p>
        <a:p>
          <a:r>
            <a:rPr lang="en-US" altLang="ko-KR" sz="1100" baseline="0"/>
            <a:t>-</a:t>
          </a:r>
          <a:r>
            <a:rPr lang="ko-KR" altLang="en-US" sz="1100" baseline="0"/>
            <a:t>흰 십자가로 먼저 숫자 레인지 잡은 다음에 검은 십자가로 쭉 내려야 숫자 </a:t>
          </a:r>
          <a:r>
            <a:rPr lang="en-US" altLang="ko-KR" sz="1100" baseline="0"/>
            <a:t>+1</a:t>
          </a:r>
          <a:r>
            <a:rPr lang="ko-KR" altLang="en-US" sz="1100" baseline="0"/>
            <a:t>해서 채워짐</a:t>
          </a:r>
          <a:endParaRPr lang="en-US" altLang="ko-KR" sz="1100" baseline="0"/>
        </a:p>
        <a:p>
          <a:r>
            <a:rPr lang="en-US" altLang="ko-KR" sz="1100" baseline="0"/>
            <a:t>-</a:t>
          </a:r>
          <a:r>
            <a:rPr lang="ko-KR" altLang="en-US" sz="1100" baseline="0"/>
            <a:t>셀 두번 클릭해야</a:t>
          </a:r>
          <a:r>
            <a:rPr lang="en-US" altLang="ko-KR" sz="1100" baseline="0"/>
            <a:t>in</a:t>
          </a:r>
          <a:r>
            <a:rPr lang="ko-KR" altLang="en-US" sz="1100" baseline="0"/>
            <a:t> 셀 안의 데이터 수정 가능</a:t>
          </a:r>
          <a:r>
            <a:rPr lang="en-US" altLang="ko-KR" sz="1100" baseline="0"/>
            <a:t>(</a:t>
          </a:r>
          <a:r>
            <a:rPr lang="ko-KR" altLang="en-US" sz="1100" baseline="0"/>
            <a:t>한번 누르고 타이핑하면</a:t>
          </a:r>
          <a:r>
            <a:rPr lang="en-US" altLang="ko-KR" sz="1100" baseline="0"/>
            <a:t>on</a:t>
          </a:r>
          <a:r>
            <a:rPr lang="ko-KR" altLang="en-US" sz="1100" baseline="0"/>
            <a:t> 백지에서 다시 쓰임</a:t>
          </a:r>
          <a:r>
            <a:rPr lang="en-US" altLang="ko-KR" sz="1100" baseline="0"/>
            <a:t>)</a:t>
          </a:r>
        </a:p>
        <a:p>
          <a:r>
            <a:rPr lang="en-US" altLang="ko-KR" sz="1100" baseline="0"/>
            <a:t>-</a:t>
          </a:r>
          <a:r>
            <a:rPr lang="ko-KR" altLang="en-US" sz="1100" baseline="0"/>
            <a:t>엔터키</a:t>
          </a:r>
          <a:r>
            <a:rPr lang="en-US" altLang="ko-KR" sz="1100" baseline="0"/>
            <a:t>: </a:t>
          </a:r>
          <a:r>
            <a:rPr lang="ko-KR" altLang="en-US" sz="1100" baseline="0"/>
            <a:t>밑으로한칸</a:t>
          </a:r>
          <a:r>
            <a:rPr lang="en-US" altLang="ko-KR" sz="1100" baseline="0"/>
            <a:t>/ </a:t>
          </a:r>
          <a:r>
            <a:rPr lang="ko-KR" altLang="en-US" sz="1100" baseline="0"/>
            <a:t>시프트 엔터</a:t>
          </a:r>
          <a:r>
            <a:rPr lang="en-US" altLang="ko-KR" sz="1100" baseline="0"/>
            <a:t>:</a:t>
          </a:r>
          <a:r>
            <a:rPr lang="ko-KR" altLang="en-US" sz="1100" baseline="0"/>
            <a:t>위로한칸</a:t>
          </a:r>
          <a:endParaRPr lang="en-US" altLang="ko-KR" sz="1100" baseline="0"/>
        </a:p>
        <a:p>
          <a:r>
            <a:rPr lang="en-US" altLang="ko-KR" sz="1100" baseline="0"/>
            <a:t>-TAB</a:t>
          </a:r>
          <a:r>
            <a:rPr lang="ko-KR" altLang="en-US" sz="1100" baseline="0"/>
            <a:t>키</a:t>
          </a:r>
          <a:r>
            <a:rPr lang="en-US" altLang="ko-KR" sz="1100" baseline="0"/>
            <a:t>: </a:t>
          </a:r>
          <a:r>
            <a:rPr lang="ko-KR" altLang="en-US" sz="1100" baseline="0"/>
            <a:t>우로한칸</a:t>
          </a:r>
          <a:r>
            <a:rPr lang="en-US" altLang="ko-KR" sz="1100" baseline="0"/>
            <a:t>/ </a:t>
          </a:r>
          <a:r>
            <a:rPr lang="ko-KR" altLang="en-US" sz="1100" baseline="0"/>
            <a:t>시프트 </a:t>
          </a:r>
          <a:r>
            <a:rPr lang="en-US" altLang="ko-KR" sz="1100" baseline="0"/>
            <a:t>TAB :</a:t>
          </a:r>
          <a:r>
            <a:rPr lang="ko-KR" altLang="en-US" sz="1100" baseline="0"/>
            <a:t>좌로한칸모두 지우기 혹은 특정 </a:t>
          </a:r>
          <a:r>
            <a:rPr lang="en-US" altLang="ko-KR" sz="1100" baseline="0"/>
            <a:t>-</a:t>
          </a:r>
          <a:r>
            <a:rPr lang="ko-KR" altLang="en-US" sz="1100" baseline="0"/>
            <a:t>셀이나 레인지 복붙</a:t>
          </a:r>
          <a:r>
            <a:rPr lang="en-US" altLang="ko-KR" sz="1100" baseline="0"/>
            <a:t>: </a:t>
          </a:r>
          <a:r>
            <a:rPr lang="ko-KR" altLang="en-US" sz="1100" baseline="0"/>
            <a:t>컨트롤</a:t>
          </a:r>
          <a:r>
            <a:rPr lang="en-US" altLang="ko-KR" sz="1100" baseline="0"/>
            <a:t>C+V</a:t>
          </a:r>
        </a:p>
        <a:p>
          <a:r>
            <a:rPr lang="en-US" altLang="ko-KR" sz="1100" baseline="0"/>
            <a:t>-</a:t>
          </a:r>
          <a:r>
            <a:rPr lang="ko-KR" altLang="en-US" sz="1100" baseline="0"/>
            <a:t>레인지 내용 싹 삭제</a:t>
          </a:r>
          <a:r>
            <a:rPr lang="en-US" altLang="ko-KR" sz="1100" baseline="0"/>
            <a:t>: </a:t>
          </a:r>
          <a:r>
            <a:rPr lang="ko-KR" altLang="en-US" sz="1100" baseline="0"/>
            <a:t>홈</a:t>
          </a:r>
          <a:r>
            <a:rPr lang="en-US" altLang="ko-KR" sz="1100" baseline="0"/>
            <a:t>-</a:t>
          </a:r>
          <a:r>
            <a:rPr lang="ko-KR" altLang="en-US" sz="1100" baseline="0"/>
            <a:t>지우기</a:t>
          </a:r>
          <a:r>
            <a:rPr lang="en-US" altLang="ko-KR" sz="1100" baseline="0"/>
            <a:t>-</a:t>
          </a:r>
          <a:r>
            <a:rPr lang="ko-KR" altLang="en-US" sz="1100" baseline="0"/>
            <a:t>모두 지우기</a:t>
          </a:r>
          <a:r>
            <a:rPr lang="en-US" altLang="ko-KR" sz="1100" baseline="0"/>
            <a:t>(</a:t>
          </a:r>
          <a:r>
            <a:rPr lang="ko-KR" altLang="en-US" sz="1100" baseline="0"/>
            <a:t>혹은 특정 요소만</a:t>
          </a:r>
          <a:r>
            <a:rPr lang="en-US" altLang="ko-KR" sz="1100" baseline="0"/>
            <a:t>)</a:t>
          </a:r>
        </a:p>
        <a:p>
          <a:r>
            <a:rPr lang="en-US" altLang="ko-KR" sz="1100" baseline="0"/>
            <a:t>-</a:t>
          </a:r>
          <a:r>
            <a:rPr lang="ko-KR" altLang="en-US" sz="1100" baseline="0"/>
            <a:t>컨트롤</a:t>
          </a:r>
          <a:r>
            <a:rPr lang="en-US" altLang="ko-KR" sz="1100" baseline="0"/>
            <a:t>z: undo</a:t>
          </a:r>
        </a:p>
        <a:p>
          <a:endParaRPr lang="en-US" altLang="ko-KR" sz="1100" baseline="0"/>
        </a:p>
        <a:p>
          <a:r>
            <a:rPr lang="en-US" altLang="ko-KR" sz="1100" baseline="0"/>
            <a:t>-</a:t>
          </a:r>
          <a:r>
            <a:rPr lang="ko-KR" altLang="en-US" sz="1100" baseline="0"/>
            <a:t>하나의 행이나 열이 추가로 필요하다면</a:t>
          </a:r>
          <a:r>
            <a:rPr lang="en-US" altLang="ko-KR" sz="1100" baseline="0"/>
            <a:t>; </a:t>
          </a:r>
          <a:r>
            <a:rPr lang="ko-KR" altLang="en-US" sz="1100" baseline="0"/>
            <a:t>필요한 자리의 행</a:t>
          </a:r>
          <a:r>
            <a:rPr lang="en-US" altLang="ko-KR" sz="1100" baseline="0"/>
            <a:t>/</a:t>
          </a:r>
          <a:r>
            <a:rPr lang="ko-KR" altLang="en-US" sz="1100" baseline="0"/>
            <a:t>열 번호나 알파벳을 선택하고</a:t>
          </a:r>
          <a:endParaRPr lang="en-US" altLang="ko-KR" sz="1100" baseline="0"/>
        </a:p>
        <a:p>
          <a:r>
            <a:rPr lang="en-US" altLang="ko-KR" sz="1100" baseline="0"/>
            <a:t>'</a:t>
          </a:r>
          <a:r>
            <a:rPr lang="ko-KR" altLang="en-US" sz="1100" baseline="0"/>
            <a:t>삽입</a:t>
          </a:r>
          <a:r>
            <a:rPr lang="en-US" altLang="ko-KR" sz="1100" baseline="0"/>
            <a:t>'</a:t>
          </a:r>
          <a:r>
            <a:rPr lang="ko-KR" altLang="en-US" sz="1100" baseline="0"/>
            <a:t>선택</a:t>
          </a:r>
          <a:endParaRPr lang="en-US" altLang="ko-KR" sz="1100" baseline="0"/>
        </a:p>
        <a:p>
          <a:r>
            <a:rPr lang="en-US" altLang="ko-KR" sz="1100" baseline="0"/>
            <a:t>-</a:t>
          </a:r>
          <a:r>
            <a:rPr lang="ko-KR" altLang="en-US" sz="1100" baseline="0"/>
            <a:t>열 사이의 더블클릭하면 글자수에 맞게 열의 공간이 자동으로 조절됨</a:t>
          </a:r>
          <a:endParaRPr lang="en-US" altLang="ko-KR" sz="1100" baseline="0"/>
        </a:p>
        <a:p>
          <a:r>
            <a:rPr lang="en-US" altLang="ko-KR" sz="1100" b="1" baseline="0"/>
            <a:t>-</a:t>
          </a:r>
          <a:r>
            <a:rPr lang="ko-KR" altLang="en-US" sz="1100" b="1" baseline="0"/>
            <a:t>만약 수치 </a:t>
          </a:r>
          <a:r>
            <a:rPr lang="en-US" altLang="ko-KR" sz="1100" b="1" baseline="0"/>
            <a:t>15</a:t>
          </a:r>
          <a:r>
            <a:rPr lang="ko-KR" altLang="en-US" sz="1100" b="1" baseline="0"/>
            <a:t>를 전부 </a:t>
          </a:r>
          <a:r>
            <a:rPr lang="en-US" altLang="ko-KR" sz="1100" b="1" baseline="0"/>
            <a:t>15.5</a:t>
          </a:r>
          <a:r>
            <a:rPr lang="ko-KR" altLang="en-US" sz="1100" b="1" baseline="0"/>
            <a:t>로 바꾸고싶다</a:t>
          </a:r>
          <a:r>
            <a:rPr lang="en-US" altLang="ko-KR" sz="1100" b="1" baseline="0"/>
            <a:t>; </a:t>
          </a:r>
          <a:r>
            <a:rPr lang="ko-KR" altLang="en-US" sz="1100" b="1" baseline="0"/>
            <a:t>홈</a:t>
          </a:r>
          <a:r>
            <a:rPr lang="en-US" altLang="ko-KR" sz="1100" b="1" baseline="0"/>
            <a:t>-</a:t>
          </a:r>
          <a:r>
            <a:rPr lang="ko-KR" altLang="en-US" sz="1100" b="1" baseline="0"/>
            <a:t>돋보기</a:t>
          </a:r>
          <a:r>
            <a:rPr lang="en-US" altLang="ko-KR" sz="1100" b="1" baseline="0"/>
            <a:t>(</a:t>
          </a:r>
          <a:r>
            <a:rPr lang="ko-KR" altLang="en-US" sz="1100" b="1" baseline="0"/>
            <a:t>찾기 및 선택</a:t>
          </a:r>
          <a:r>
            <a:rPr lang="en-US" altLang="ko-KR" sz="1100" b="1" baseline="0"/>
            <a:t>)- </a:t>
          </a:r>
          <a:r>
            <a:rPr lang="ko-KR" altLang="en-US" sz="1100" b="1" baseline="0"/>
            <a:t>바꾸기</a:t>
          </a:r>
          <a:r>
            <a:rPr lang="en-US" altLang="ko-KR" sz="1100" b="1" baseline="0"/>
            <a:t>(</a:t>
          </a:r>
          <a:r>
            <a:rPr lang="ko-KR" altLang="en-US" sz="1100" b="1" baseline="0"/>
            <a:t>컨트롤</a:t>
          </a:r>
          <a:r>
            <a:rPr lang="en-US" altLang="ko-KR" sz="1100" b="1" baseline="0"/>
            <a:t>H)</a:t>
          </a:r>
        </a:p>
        <a:p>
          <a:r>
            <a:rPr lang="en-US" altLang="ko-KR" sz="1100" b="1" baseline="0"/>
            <a:t>-auto correct; </a:t>
          </a:r>
          <a:r>
            <a:rPr lang="ko-KR" altLang="en-US" sz="1100" b="1" baseline="0"/>
            <a:t>파일</a:t>
          </a:r>
          <a:r>
            <a:rPr lang="en-US" altLang="ko-KR" sz="1100" b="1" baseline="0"/>
            <a:t>-</a:t>
          </a:r>
          <a:r>
            <a:rPr lang="ko-KR" altLang="en-US" sz="1100" b="1" baseline="0"/>
            <a:t>옵션</a:t>
          </a:r>
          <a:r>
            <a:rPr lang="en-US" altLang="ko-KR" sz="1100" b="1" baseline="0"/>
            <a:t>-</a:t>
          </a:r>
          <a:r>
            <a:rPr lang="ko-KR" altLang="en-US" sz="1100" b="1" baseline="0"/>
            <a:t>언어교정</a:t>
          </a:r>
          <a:r>
            <a:rPr lang="en-US" altLang="ko-KR" sz="1100" b="1" baseline="0"/>
            <a:t>-</a:t>
          </a:r>
          <a:r>
            <a:rPr lang="ko-KR" altLang="en-US" sz="1100" b="1" baseline="0"/>
            <a:t>자동고침옵션</a:t>
          </a:r>
          <a:r>
            <a:rPr lang="en-US" altLang="ko-KR" sz="1100" b="1" baseline="0"/>
            <a:t>(</a:t>
          </a:r>
          <a:r>
            <a:rPr lang="ko-KR" altLang="en-US" sz="1100" b="1" baseline="0"/>
            <a:t>나만의 단축키 생성</a:t>
          </a:r>
          <a:r>
            <a:rPr lang="en-US" altLang="ko-KR" sz="1100" b="1" baseline="0"/>
            <a:t>)</a:t>
          </a:r>
        </a:p>
        <a:p>
          <a:r>
            <a:rPr lang="en-US" altLang="ko-KR" sz="1100" b="1" baseline="0"/>
            <a:t>-</a:t>
          </a:r>
          <a:r>
            <a:rPr lang="ko-KR" altLang="en-US" sz="1100" b="1" baseline="0"/>
            <a:t>셀의 데이터 위치 이동시키키</a:t>
          </a:r>
          <a:r>
            <a:rPr lang="en-US" altLang="ko-KR" sz="1100" b="1" baseline="0"/>
            <a:t>(</a:t>
          </a:r>
          <a:r>
            <a:rPr lang="ko-KR" altLang="en-US" sz="1100" b="1" baseline="0"/>
            <a:t>다른 셀로</a:t>
          </a:r>
          <a:r>
            <a:rPr lang="en-US" altLang="ko-KR" sz="1100" b="1" baseline="0"/>
            <a:t>)(</a:t>
          </a:r>
          <a:r>
            <a:rPr lang="ko-KR" altLang="en-US" sz="1100" b="1" baseline="0"/>
            <a:t>혹은 레인지도 마찬가지</a:t>
          </a:r>
          <a:r>
            <a:rPr lang="en-US" altLang="ko-KR" sz="1100" b="1" baseline="0"/>
            <a:t>); </a:t>
          </a:r>
          <a:r>
            <a:rPr lang="ko-KR" altLang="en-US" sz="1100" b="1" baseline="0"/>
            <a:t>초록 사각형 테두리에 커서 대면 네방향 화살표 모양이 뜸</a:t>
          </a:r>
          <a:r>
            <a:rPr lang="en-US" altLang="ko-KR" sz="1100" b="1" baseline="0"/>
            <a:t>, </a:t>
          </a:r>
          <a:r>
            <a:rPr lang="ko-KR" altLang="en-US" sz="1100" b="1" baseline="0"/>
            <a:t>그상태로 이동하고싶은 위치로 이동시키키</a:t>
          </a:r>
          <a:endParaRPr lang="en-US" altLang="ko-KR" sz="1100" b="1" baseline="0"/>
        </a:p>
        <a:p>
          <a:endParaRPr lang="en-US" altLang="ko-KR" sz="1100" baseline="0"/>
        </a:p>
        <a:p>
          <a:r>
            <a:rPr lang="en-US" altLang="ko-KR" sz="1100" b="1" baseline="0"/>
            <a:t>&lt;FORMULAS&gt;</a:t>
          </a:r>
        </a:p>
        <a:p>
          <a:r>
            <a:rPr lang="en-US" altLang="ko-KR" sz="1100" baseline="0"/>
            <a:t>-</a:t>
          </a:r>
          <a:r>
            <a:rPr lang="ko-KR" altLang="en-US" sz="1100" baseline="0"/>
            <a:t>함수 쓸 때는 반드시 </a:t>
          </a:r>
          <a:r>
            <a:rPr lang="en-US" altLang="ko-KR" sz="1100" baseline="0"/>
            <a:t>= </a:t>
          </a:r>
          <a:r>
            <a:rPr lang="ko-KR" altLang="en-US" sz="1100" baseline="0"/>
            <a:t>으로 시작</a:t>
          </a:r>
          <a:endParaRPr lang="en-US" altLang="ko-KR" sz="1100" baseline="0"/>
        </a:p>
        <a:p>
          <a:r>
            <a:rPr lang="en-US" altLang="ko-KR" sz="1100" baseline="0"/>
            <a:t>-</a:t>
          </a:r>
          <a:r>
            <a:rPr lang="ko-KR" altLang="en-US" sz="1100" baseline="0"/>
            <a:t>곱셈은 </a:t>
          </a:r>
          <a:r>
            <a:rPr lang="en-US" altLang="ko-KR" sz="1100" baseline="0"/>
            <a:t>*</a:t>
          </a:r>
        </a:p>
        <a:p>
          <a:r>
            <a:rPr lang="en-US" altLang="ko-KR" sz="1100" baseline="0"/>
            <a:t>-</a:t>
          </a:r>
          <a:r>
            <a:rPr lang="ko-KR" altLang="en-US" sz="1100" baseline="0"/>
            <a:t>셀 선택으로 계산 편리하게</a:t>
          </a:r>
          <a:endParaRPr lang="en-US" altLang="ko-KR" sz="1100" baseline="0"/>
        </a:p>
        <a:p>
          <a:endParaRPr lang="en-US" altLang="ko-KR" sz="1100" baseline="0"/>
        </a:p>
        <a:p>
          <a:endParaRPr lang="en-US" altLang="ko-KR" sz="1100" baseline="0"/>
        </a:p>
        <a:p>
          <a:endParaRPr lang="en-US" altLang="ko-KR" sz="1100" baseline="0"/>
        </a:p>
        <a:p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-autofill(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작은 초록색 박스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커서가 검은십자가 되는 위치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더블클릭하면 됨</a:t>
          </a:r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effectLst/>
          </a:endParaRPr>
        </a:p>
        <a:p>
          <a:r>
            <a:rPr lang="en-US" altLang="ko-KR" sz="1100" b="1" baseline="0">
              <a:solidFill>
                <a:schemeClr val="accent2">
                  <a:lumMod val="75000"/>
                </a:schemeClr>
              </a:solidFill>
            </a:rPr>
            <a:t>- </a:t>
          </a:r>
          <a:r>
            <a:rPr lang="ko-KR" altLang="en-US" sz="1100" b="1" baseline="0">
              <a:solidFill>
                <a:schemeClr val="accent2">
                  <a:lumMod val="75000"/>
                </a:schemeClr>
              </a:solidFill>
            </a:rPr>
            <a:t>만약 셀에 </a:t>
          </a:r>
          <a:r>
            <a:rPr lang="en-US" altLang="ko-KR" sz="1100" b="1" baseline="0">
              <a:solidFill>
                <a:schemeClr val="accent2">
                  <a:lumMod val="75000"/>
                </a:schemeClr>
              </a:solidFill>
            </a:rPr>
            <a:t>=C2*D2 </a:t>
          </a:r>
          <a:r>
            <a:rPr lang="ko-KR" altLang="en-US" sz="1100" b="1" baseline="0">
              <a:solidFill>
                <a:schemeClr val="accent2">
                  <a:lumMod val="75000"/>
                </a:schemeClr>
              </a:solidFill>
            </a:rPr>
            <a:t>라고 입력하면</a:t>
          </a:r>
          <a:r>
            <a:rPr lang="en-US" altLang="ko-KR" sz="1100" b="1" baseline="0">
              <a:solidFill>
                <a:schemeClr val="accent2">
                  <a:lumMod val="75000"/>
                </a:schemeClr>
              </a:solidFill>
            </a:rPr>
            <a:t>, </a:t>
          </a:r>
          <a:r>
            <a:rPr lang="ko-KR" altLang="en-US" sz="1100" b="1" baseline="0">
              <a:solidFill>
                <a:schemeClr val="accent2">
                  <a:lumMod val="75000"/>
                </a:schemeClr>
              </a:solidFill>
            </a:rPr>
            <a:t>이건 </a:t>
          </a:r>
          <a:r>
            <a:rPr lang="en-US" altLang="ko-KR" sz="1100" b="1" baseline="0">
              <a:solidFill>
                <a:schemeClr val="accent2">
                  <a:lumMod val="75000"/>
                </a:schemeClr>
              </a:solidFill>
            </a:rPr>
            <a:t>RELATIVE CELL REFERENCES; </a:t>
          </a:r>
          <a:r>
            <a:rPr lang="ko-KR" altLang="en-US" sz="1100" b="1" baseline="0">
              <a:solidFill>
                <a:schemeClr val="accent2">
                  <a:lumMod val="75000"/>
                </a:schemeClr>
              </a:solidFill>
            </a:rPr>
            <a:t>함수가 적힌 셀이 </a:t>
          </a:r>
          <a:r>
            <a:rPr lang="en-US" altLang="ko-KR" sz="1100" b="1" baseline="0">
              <a:solidFill>
                <a:schemeClr val="accent2">
                  <a:lumMod val="75000"/>
                </a:schemeClr>
              </a:solidFill>
            </a:rPr>
            <a:t>C3</a:t>
          </a:r>
          <a:r>
            <a:rPr lang="ko-KR" altLang="en-US" sz="1100" b="1" baseline="0">
              <a:solidFill>
                <a:schemeClr val="accent2">
                  <a:lumMod val="75000"/>
                </a:schemeClr>
              </a:solidFill>
            </a:rPr>
            <a:t>이라면</a:t>
          </a:r>
          <a:r>
            <a:rPr lang="en-US" altLang="ko-KR" sz="1100" b="1" baseline="0">
              <a:solidFill>
                <a:schemeClr val="accent2">
                  <a:lumMod val="75000"/>
                </a:schemeClr>
              </a:solidFill>
            </a:rPr>
            <a:t>,</a:t>
          </a:r>
        </a:p>
        <a:p>
          <a:r>
            <a:rPr lang="en-US" altLang="ko-KR" sz="1100" b="1" baseline="0">
              <a:solidFill>
                <a:schemeClr val="accent2">
                  <a:lumMod val="75000"/>
                </a:schemeClr>
              </a:solidFill>
            </a:rPr>
            <a:t>"</a:t>
          </a:r>
          <a:r>
            <a:rPr lang="ko-KR" altLang="en-US" sz="1100" b="1" baseline="0">
              <a:solidFill>
                <a:schemeClr val="accent2">
                  <a:lumMod val="75000"/>
                </a:schemeClr>
              </a:solidFill>
            </a:rPr>
            <a:t>좌로 하나 간 셀</a:t>
          </a:r>
          <a:r>
            <a:rPr lang="en-US" altLang="ko-KR" sz="1100" b="1" baseline="0">
              <a:solidFill>
                <a:schemeClr val="accent2">
                  <a:lumMod val="75000"/>
                </a:schemeClr>
              </a:solidFill>
            </a:rPr>
            <a:t>x</a:t>
          </a:r>
          <a:r>
            <a:rPr lang="ko-KR" altLang="en-US" sz="1100" b="1" baseline="0">
              <a:solidFill>
                <a:schemeClr val="accent2">
                  <a:lumMod val="75000"/>
                </a:schemeClr>
              </a:solidFill>
            </a:rPr>
            <a:t>위로 한칸</a:t>
          </a:r>
          <a:r>
            <a:rPr lang="en-US" altLang="ko-KR" sz="1100" b="1" baseline="0">
              <a:solidFill>
                <a:schemeClr val="accent2">
                  <a:lumMod val="75000"/>
                </a:schemeClr>
              </a:solidFill>
            </a:rPr>
            <a:t>/</a:t>
          </a:r>
          <a:r>
            <a:rPr lang="ko-KR" altLang="en-US" sz="1100" b="1" baseline="0">
              <a:solidFill>
                <a:schemeClr val="accent2">
                  <a:lumMod val="75000"/>
                </a:schemeClr>
              </a:solidFill>
            </a:rPr>
            <a:t>우로 한칸 간 셀</a:t>
          </a:r>
          <a:r>
            <a:rPr lang="en-US" altLang="ko-KR" sz="1100" b="1" baseline="0">
              <a:solidFill>
                <a:schemeClr val="accent2">
                  <a:lumMod val="75000"/>
                </a:schemeClr>
              </a:solidFill>
            </a:rPr>
            <a:t>"</a:t>
          </a:r>
          <a:r>
            <a:rPr lang="ko-KR" altLang="en-US" sz="1100" b="1" baseline="0">
              <a:solidFill>
                <a:schemeClr val="accent2">
                  <a:lumMod val="75000"/>
                </a:schemeClr>
              </a:solidFill>
            </a:rPr>
            <a:t>으로 인식함</a:t>
          </a:r>
          <a:r>
            <a:rPr lang="en-US" altLang="ko-KR" sz="1100" b="1" baseline="0">
              <a:solidFill>
                <a:schemeClr val="accent2">
                  <a:lumMod val="75000"/>
                </a:schemeClr>
              </a:solidFill>
            </a:rPr>
            <a:t>. ----&gt;</a:t>
          </a:r>
          <a:r>
            <a:rPr lang="ko-KR" altLang="en-US" sz="1100" b="1" baseline="0">
              <a:solidFill>
                <a:schemeClr val="accent2">
                  <a:lumMod val="75000"/>
                </a:schemeClr>
              </a:solidFill>
            </a:rPr>
            <a:t>이걸 드래그해서 한 열을 채우면 </a:t>
          </a:r>
          <a:r>
            <a:rPr lang="en-US" altLang="ko-KR" sz="1100" b="1" baseline="0">
              <a:solidFill>
                <a:schemeClr val="accent2">
                  <a:lumMod val="75000"/>
                </a:schemeClr>
              </a:solidFill>
            </a:rPr>
            <a:t>0</a:t>
          </a:r>
          <a:r>
            <a:rPr lang="ko-KR" altLang="en-US" sz="1100" b="1" baseline="0">
              <a:solidFill>
                <a:schemeClr val="accent2">
                  <a:lumMod val="75000"/>
                </a:schemeClr>
              </a:solidFill>
            </a:rPr>
            <a:t>으로 뒤덮이거나 원치않는 결과 나올수도</a:t>
          </a:r>
          <a:r>
            <a:rPr lang="en-US" altLang="ko-KR" sz="1100" b="1" baseline="0">
              <a:solidFill>
                <a:schemeClr val="accent2">
                  <a:lumMod val="75000"/>
                </a:schemeClr>
              </a:solidFill>
            </a:rPr>
            <a:t>: Absolute cell reference</a:t>
          </a:r>
          <a:r>
            <a:rPr lang="ko-KR" altLang="en-US" sz="1100" b="1" baseline="0">
              <a:solidFill>
                <a:schemeClr val="accent2">
                  <a:lumMod val="75000"/>
                </a:schemeClr>
              </a:solidFill>
            </a:rPr>
            <a:t>로 바꿔야</a:t>
          </a:r>
          <a:r>
            <a:rPr lang="en-US" altLang="ko-KR" sz="1100" b="1" baseline="0">
              <a:solidFill>
                <a:schemeClr val="accent2">
                  <a:lumMod val="75000"/>
                </a:schemeClr>
              </a:solidFill>
            </a:rPr>
            <a:t>---&gt; $$$$$$$</a:t>
          </a:r>
          <a:r>
            <a:rPr lang="ko-KR" altLang="en-US" sz="1100" b="1" baseline="0">
              <a:solidFill>
                <a:schemeClr val="accent2">
                  <a:lumMod val="75000"/>
                </a:schemeClr>
              </a:solidFill>
            </a:rPr>
            <a:t>중요</a:t>
          </a:r>
          <a:r>
            <a:rPr lang="en-US" altLang="ko-KR" sz="1100" b="1" baseline="0">
              <a:solidFill>
                <a:schemeClr val="accent2">
                  <a:lumMod val="75000"/>
                </a:schemeClr>
              </a:solidFill>
            </a:rPr>
            <a:t>(fixing)</a:t>
          </a:r>
        </a:p>
        <a:p>
          <a:r>
            <a:rPr lang="en-US" altLang="ko-KR" sz="1100" b="1" baseline="0">
              <a:solidFill>
                <a:schemeClr val="accent2">
                  <a:lumMod val="75000"/>
                </a:schemeClr>
              </a:solidFill>
            </a:rPr>
            <a:t>-$H1: H</a:t>
          </a:r>
          <a:r>
            <a:rPr lang="ko-KR" altLang="en-US" sz="1100" b="1" baseline="0">
              <a:solidFill>
                <a:schemeClr val="accent2">
                  <a:lumMod val="75000"/>
                </a:schemeClr>
              </a:solidFill>
            </a:rPr>
            <a:t>열로 고정</a:t>
          </a:r>
          <a:endParaRPr lang="en-US" altLang="ko-KR" sz="1100" b="1" baseline="0">
            <a:solidFill>
              <a:schemeClr val="accent2">
                <a:lumMod val="75000"/>
              </a:schemeClr>
            </a:solidFill>
          </a:endParaRPr>
        </a:p>
        <a:p>
          <a:r>
            <a:rPr lang="en-US" altLang="ko-KR" sz="1100" b="1" baseline="0">
              <a:solidFill>
                <a:schemeClr val="accent2">
                  <a:lumMod val="75000"/>
                </a:schemeClr>
              </a:solidFill>
            </a:rPr>
            <a:t>-H$1: 1</a:t>
          </a:r>
          <a:r>
            <a:rPr lang="ko-KR" altLang="en-US" sz="1100" b="1" baseline="0">
              <a:solidFill>
                <a:schemeClr val="accent2">
                  <a:lumMod val="75000"/>
                </a:schemeClr>
              </a:solidFill>
            </a:rPr>
            <a:t>행으로 고정</a:t>
          </a:r>
          <a:endParaRPr lang="en-US" altLang="ko-KR" sz="1100" b="1" baseline="0">
            <a:solidFill>
              <a:schemeClr val="accent2">
                <a:lumMod val="75000"/>
              </a:schemeClr>
            </a:solidFill>
          </a:endParaRPr>
        </a:p>
        <a:p>
          <a:r>
            <a:rPr lang="en-US" altLang="ko-KR" sz="1100" b="1" baseline="0">
              <a:solidFill>
                <a:schemeClr val="accent2">
                  <a:lumMod val="75000"/>
                </a:schemeClr>
              </a:solidFill>
            </a:rPr>
            <a:t>-$H$1: H1 cell</a:t>
          </a:r>
          <a:r>
            <a:rPr lang="ko-KR" altLang="en-US" sz="1100" b="1" baseline="0">
              <a:solidFill>
                <a:schemeClr val="accent2">
                  <a:lumMod val="75000"/>
                </a:schemeClr>
              </a:solidFill>
            </a:rPr>
            <a:t>로 고정</a:t>
          </a:r>
          <a:endParaRPr lang="en-US" altLang="ko-KR" sz="1100" b="1" baseline="0">
            <a:solidFill>
              <a:schemeClr val="accent2">
                <a:lumMod val="75000"/>
              </a:schemeClr>
            </a:solidFill>
          </a:endParaRPr>
        </a:p>
        <a:p>
          <a:endParaRPr lang="en-US" altLang="ko-KR" sz="1100" baseline="0">
            <a:solidFill>
              <a:schemeClr val="accent2">
                <a:lumMod val="75000"/>
              </a:schemeClr>
            </a:solidFill>
          </a:endParaRPr>
        </a:p>
        <a:p>
          <a:r>
            <a:rPr lang="en-US" altLang="ko-KR" sz="1100" baseline="0">
              <a:solidFill>
                <a:schemeClr val="tx1"/>
              </a:solidFill>
            </a:rPr>
            <a:t>-range</a:t>
          </a:r>
          <a:r>
            <a:rPr lang="ko-KR" altLang="en-US" sz="1100" baseline="0">
              <a:solidFill>
                <a:schemeClr val="tx1"/>
              </a:solidFill>
            </a:rPr>
            <a:t>설정하여 네임박스에서 이름 설정 가능</a:t>
          </a:r>
          <a:r>
            <a:rPr lang="en-US" altLang="ko-KR" sz="1100" baseline="0">
              <a:solidFill>
                <a:schemeClr val="tx1"/>
              </a:solidFill>
            </a:rPr>
            <a:t>(</a:t>
          </a:r>
          <a:r>
            <a:rPr lang="ko-KR" altLang="en-US" sz="1100" baseline="0">
              <a:solidFill>
                <a:schemeClr val="tx1"/>
              </a:solidFill>
            </a:rPr>
            <a:t>라벨링</a:t>
          </a:r>
          <a:r>
            <a:rPr lang="en-US" altLang="ko-KR" sz="1100" baseline="0">
              <a:solidFill>
                <a:schemeClr val="tx1"/>
              </a:solidFill>
            </a:rPr>
            <a:t>?)</a:t>
          </a:r>
        </a:p>
        <a:p>
          <a:endParaRPr lang="en-US" altLang="ko-KR" sz="1100" baseline="0">
            <a:solidFill>
              <a:schemeClr val="tx1"/>
            </a:solidFill>
          </a:endParaRPr>
        </a:p>
        <a:p>
          <a:r>
            <a:rPr lang="en-US" altLang="ko-KR" sz="1100" b="1" baseline="0">
              <a:solidFill>
                <a:schemeClr val="tx1"/>
              </a:solidFill>
            </a:rPr>
            <a:t>&lt;FUNCTIONS&gt;</a:t>
          </a:r>
        </a:p>
        <a:p>
          <a:r>
            <a:rPr lang="en-US" altLang="ko-KR" sz="1100" b="1" baseline="0">
              <a:solidFill>
                <a:schemeClr val="tx1"/>
              </a:solidFill>
            </a:rPr>
            <a:t>-SUM</a:t>
          </a:r>
        </a:p>
        <a:p>
          <a:r>
            <a:rPr lang="en-US" altLang="ko-KR" sz="1100" baseline="0">
              <a:solidFill>
                <a:schemeClr val="tx1"/>
              </a:solidFill>
            </a:rPr>
            <a:t>1</a:t>
          </a:r>
          <a:r>
            <a:rPr lang="ko-KR" altLang="en-US" sz="1100" baseline="0">
              <a:solidFill>
                <a:schemeClr val="tx1"/>
              </a:solidFill>
            </a:rPr>
            <a:t>단계</a:t>
          </a:r>
          <a:r>
            <a:rPr lang="en-US" altLang="ko-KR" sz="1100" baseline="0">
              <a:solidFill>
                <a:schemeClr val="tx1"/>
              </a:solidFill>
            </a:rPr>
            <a:t>: </a:t>
          </a:r>
          <a:r>
            <a:rPr lang="ko-KR" altLang="en-US" sz="1100" baseline="0">
              <a:solidFill>
                <a:schemeClr val="tx1"/>
              </a:solidFill>
            </a:rPr>
            <a:t>결과가 나올 빈 칸을 클릭하고 </a:t>
          </a:r>
          <a:r>
            <a:rPr lang="en-US" altLang="ko-KR" sz="1100" baseline="0">
              <a:solidFill>
                <a:schemeClr val="tx1"/>
              </a:solidFill>
            </a:rPr>
            <a:t>= </a:t>
          </a:r>
          <a:r>
            <a:rPr lang="ko-KR" altLang="en-US" sz="1100" baseline="0">
              <a:solidFill>
                <a:schemeClr val="tx1"/>
              </a:solidFill>
            </a:rPr>
            <a:t>적기</a:t>
          </a:r>
          <a:endParaRPr lang="en-US" altLang="ko-KR" sz="1100" baseline="0">
            <a:solidFill>
              <a:schemeClr val="tx1"/>
            </a:solidFill>
          </a:endParaRPr>
        </a:p>
        <a:p>
          <a:r>
            <a:rPr lang="ko-KR" altLang="en-US" sz="1100" baseline="0">
              <a:solidFill>
                <a:schemeClr val="tx1"/>
              </a:solidFill>
            </a:rPr>
            <a:t>예를 들어</a:t>
          </a:r>
          <a:r>
            <a:rPr lang="en-US" altLang="ko-KR" sz="1100" baseline="0">
              <a:solidFill>
                <a:schemeClr val="tx1"/>
              </a:solidFill>
            </a:rPr>
            <a:t>, </a:t>
          </a:r>
          <a:r>
            <a:rPr lang="ko-KR" altLang="en-US" sz="1100" baseline="0">
              <a:solidFill>
                <a:schemeClr val="tx1"/>
              </a:solidFill>
            </a:rPr>
            <a:t>합계를 구하고 싶다면 답을 적고 싶은 빈 칸을 마우스로 콕 찍고 키보드로 </a:t>
          </a:r>
          <a:r>
            <a:rPr lang="en-US" altLang="ko-KR" sz="1100" baseline="0">
              <a:solidFill>
                <a:schemeClr val="tx1"/>
              </a:solidFill>
            </a:rPr>
            <a:t>= </a:t>
          </a:r>
          <a:r>
            <a:rPr lang="ko-KR" altLang="en-US" sz="1100" baseline="0">
              <a:solidFill>
                <a:schemeClr val="tx1"/>
              </a:solidFill>
            </a:rPr>
            <a:t>을 씁니다</a:t>
          </a:r>
          <a:r>
            <a:rPr lang="en-US" altLang="ko-KR" sz="1100" baseline="0">
              <a:solidFill>
                <a:schemeClr val="tx1"/>
              </a:solidFill>
            </a:rPr>
            <a:t>.</a:t>
          </a:r>
        </a:p>
        <a:p>
          <a:endParaRPr lang="en-US" altLang="ko-KR" sz="1100" baseline="0">
            <a:solidFill>
              <a:schemeClr val="tx1"/>
            </a:solidFill>
          </a:endParaRPr>
        </a:p>
        <a:p>
          <a:r>
            <a:rPr lang="en-US" altLang="ko-KR" sz="1100" baseline="0">
              <a:solidFill>
                <a:schemeClr val="tx1"/>
              </a:solidFill>
            </a:rPr>
            <a:t>2</a:t>
          </a:r>
          <a:r>
            <a:rPr lang="ko-KR" altLang="en-US" sz="1100" baseline="0">
              <a:solidFill>
                <a:schemeClr val="tx1"/>
              </a:solidFill>
            </a:rPr>
            <a:t>단계</a:t>
          </a:r>
          <a:r>
            <a:rPr lang="en-US" altLang="ko-KR" sz="1100" baseline="0">
              <a:solidFill>
                <a:schemeClr val="tx1"/>
              </a:solidFill>
            </a:rPr>
            <a:t>: </a:t>
          </a:r>
          <a:r>
            <a:rPr lang="ko-KR" altLang="en-US" sz="1100" baseline="0">
              <a:solidFill>
                <a:schemeClr val="tx1"/>
              </a:solidFill>
            </a:rPr>
            <a:t>함수 이름 쓰고 괄호 열기 </a:t>
          </a:r>
          <a:r>
            <a:rPr lang="en-US" altLang="ko-KR" sz="1100" baseline="0">
              <a:solidFill>
                <a:schemeClr val="tx1"/>
              </a:solidFill>
            </a:rPr>
            <a:t>(</a:t>
          </a:r>
          <a:r>
            <a:rPr lang="ko-KR" altLang="en-US" sz="1100" baseline="0">
              <a:solidFill>
                <a:schemeClr val="tx1"/>
              </a:solidFill>
            </a:rPr>
            <a:t>더하기를 할 거니까 영어로 </a:t>
          </a:r>
          <a:r>
            <a:rPr lang="en-US" altLang="ko-KR" sz="1100" baseline="0">
              <a:solidFill>
                <a:schemeClr val="tx1"/>
              </a:solidFill>
            </a:rPr>
            <a:t>SUM( </a:t>
          </a:r>
          <a:r>
            <a:rPr lang="ko-KR" altLang="en-US" sz="1100" baseline="0">
              <a:solidFill>
                <a:schemeClr val="tx1"/>
              </a:solidFill>
            </a:rPr>
            <a:t>까지 씁니다</a:t>
          </a:r>
          <a:r>
            <a:rPr lang="en-US" altLang="ko-KR" sz="1100" baseline="0">
              <a:solidFill>
                <a:schemeClr val="tx1"/>
              </a:solidFill>
            </a:rPr>
            <a:t>.</a:t>
          </a:r>
        </a:p>
        <a:p>
          <a:r>
            <a:rPr lang="ko-KR" altLang="en-US" sz="1100" baseline="0">
              <a:solidFill>
                <a:schemeClr val="tx1"/>
              </a:solidFill>
            </a:rPr>
            <a:t>💡 꿀팁</a:t>
          </a:r>
          <a:r>
            <a:rPr lang="en-US" altLang="ko-KR" sz="1100" baseline="0">
              <a:solidFill>
                <a:schemeClr val="tx1"/>
              </a:solidFill>
            </a:rPr>
            <a:t>: SU</a:t>
          </a:r>
          <a:r>
            <a:rPr lang="ko-KR" altLang="en-US" sz="1100" baseline="0">
              <a:solidFill>
                <a:schemeClr val="tx1"/>
              </a:solidFill>
            </a:rPr>
            <a:t>만 쳐도 엑셀이 아래에 사용 가능한 함수 목록을 쫙 띄워줍니다</a:t>
          </a:r>
          <a:r>
            <a:rPr lang="en-US" altLang="ko-KR" sz="1100" baseline="0">
              <a:solidFill>
                <a:schemeClr val="tx1"/>
              </a:solidFill>
            </a:rPr>
            <a:t>. </a:t>
          </a:r>
        </a:p>
        <a:p>
          <a:r>
            <a:rPr lang="ko-KR" altLang="en-US" sz="1100" baseline="0">
              <a:solidFill>
                <a:schemeClr val="tx1"/>
              </a:solidFill>
            </a:rPr>
            <a:t>                  그때 키보드의 </a:t>
          </a:r>
          <a:r>
            <a:rPr lang="en-US" altLang="ko-KR" sz="1100" baseline="0">
              <a:solidFill>
                <a:schemeClr val="tx1"/>
              </a:solidFill>
            </a:rPr>
            <a:t>Tab </a:t>
          </a:r>
          <a:r>
            <a:rPr lang="ko-KR" altLang="en-US" sz="1100" baseline="0">
              <a:solidFill>
                <a:schemeClr val="tx1"/>
              </a:solidFill>
            </a:rPr>
            <a:t>키를 누르면 이름이 자동으로 완성되고 괄호까지 열립니다</a:t>
          </a:r>
          <a:r>
            <a:rPr lang="en-US" altLang="ko-KR" sz="1100" baseline="0">
              <a:solidFill>
                <a:schemeClr val="tx1"/>
              </a:solidFill>
            </a:rPr>
            <a:t>!</a:t>
          </a:r>
        </a:p>
        <a:p>
          <a:endParaRPr lang="en-US" altLang="ko-KR" sz="1100" baseline="0">
            <a:solidFill>
              <a:schemeClr val="tx1"/>
            </a:solidFill>
          </a:endParaRPr>
        </a:p>
        <a:p>
          <a:r>
            <a:rPr lang="en-US" altLang="ko-KR" sz="1100" baseline="0">
              <a:solidFill>
                <a:schemeClr val="tx1"/>
              </a:solidFill>
            </a:rPr>
            <a:t>3</a:t>
          </a:r>
          <a:r>
            <a:rPr lang="ko-KR" altLang="en-US" sz="1100" baseline="0">
              <a:solidFill>
                <a:schemeClr val="tx1"/>
              </a:solidFill>
            </a:rPr>
            <a:t>단계</a:t>
          </a:r>
          <a:r>
            <a:rPr lang="en-US" altLang="ko-KR" sz="1100" baseline="0">
              <a:solidFill>
                <a:schemeClr val="tx1"/>
              </a:solidFill>
            </a:rPr>
            <a:t>: </a:t>
          </a:r>
          <a:r>
            <a:rPr lang="ko-KR" altLang="en-US" sz="1100" baseline="0">
              <a:solidFill>
                <a:schemeClr val="tx1"/>
              </a:solidFill>
            </a:rPr>
            <a:t>마우스로 재료</a:t>
          </a:r>
          <a:r>
            <a:rPr lang="en-US" altLang="ko-KR" sz="1100" baseline="0">
              <a:solidFill>
                <a:schemeClr val="tx1"/>
              </a:solidFill>
            </a:rPr>
            <a:t>(</a:t>
          </a:r>
          <a:r>
            <a:rPr lang="ko-KR" altLang="en-US" sz="1100" baseline="0">
              <a:solidFill>
                <a:schemeClr val="tx1"/>
              </a:solidFill>
            </a:rPr>
            <a:t>범위</a:t>
          </a:r>
          <a:r>
            <a:rPr lang="en-US" altLang="ko-KR" sz="1100" baseline="0">
              <a:solidFill>
                <a:schemeClr val="tx1"/>
              </a:solidFill>
            </a:rPr>
            <a:t>) </a:t>
          </a:r>
          <a:r>
            <a:rPr lang="ko-KR" altLang="en-US" sz="1100" baseline="0">
              <a:solidFill>
                <a:schemeClr val="tx1"/>
              </a:solidFill>
            </a:rPr>
            <a:t>드래그하고 </a:t>
          </a:r>
          <a:r>
            <a:rPr lang="en-US" altLang="ko-KR" sz="1100" baseline="0">
              <a:solidFill>
                <a:schemeClr val="tx1"/>
              </a:solidFill>
            </a:rPr>
            <a:t>Enter </a:t>
          </a:r>
          <a:r>
            <a:rPr lang="ko-KR" altLang="en-US" sz="1100" baseline="0">
              <a:solidFill>
                <a:schemeClr val="tx1"/>
              </a:solidFill>
            </a:rPr>
            <a:t>치기</a:t>
          </a:r>
          <a:endParaRPr lang="en-US" altLang="ko-KR" sz="1100" baseline="0">
            <a:solidFill>
              <a:schemeClr val="tx1"/>
            </a:solidFill>
          </a:endParaRPr>
        </a:p>
        <a:p>
          <a:r>
            <a:rPr lang="ko-KR" altLang="en-US" sz="1100" baseline="0">
              <a:solidFill>
                <a:schemeClr val="tx1"/>
              </a:solidFill>
            </a:rPr>
            <a:t>숫자가 적힌 칸들</a:t>
          </a:r>
          <a:r>
            <a:rPr lang="en-US" altLang="ko-KR" sz="1100" baseline="0">
              <a:solidFill>
                <a:schemeClr val="tx1"/>
              </a:solidFill>
            </a:rPr>
            <a:t>(</a:t>
          </a:r>
          <a:r>
            <a:rPr lang="ko-KR" altLang="en-US" sz="1100" baseline="0">
              <a:solidFill>
                <a:schemeClr val="tx1"/>
              </a:solidFill>
            </a:rPr>
            <a:t>예</a:t>
          </a:r>
          <a:r>
            <a:rPr lang="en-US" altLang="ko-KR" sz="1100" baseline="0">
              <a:solidFill>
                <a:schemeClr val="tx1"/>
              </a:solidFill>
            </a:rPr>
            <a:t>: D2</a:t>
          </a:r>
          <a:r>
            <a:rPr lang="ko-KR" altLang="en-US" sz="1100" baseline="0">
              <a:solidFill>
                <a:schemeClr val="tx1"/>
              </a:solidFill>
            </a:rPr>
            <a:t>부터 </a:t>
          </a:r>
          <a:r>
            <a:rPr lang="en-US" altLang="ko-KR" sz="1100" baseline="0">
              <a:solidFill>
                <a:schemeClr val="tx1"/>
              </a:solidFill>
            </a:rPr>
            <a:t>D10</a:t>
          </a:r>
          <a:r>
            <a:rPr lang="ko-KR" altLang="en-US" sz="1100" baseline="0">
              <a:solidFill>
                <a:schemeClr val="tx1"/>
              </a:solidFill>
            </a:rPr>
            <a:t>까지</a:t>
          </a:r>
          <a:r>
            <a:rPr lang="en-US" altLang="ko-KR" sz="1100" baseline="0">
              <a:solidFill>
                <a:schemeClr val="tx1"/>
              </a:solidFill>
            </a:rPr>
            <a:t>)</a:t>
          </a:r>
          <a:r>
            <a:rPr lang="ko-KR" altLang="en-US" sz="1100" baseline="0">
              <a:solidFill>
                <a:schemeClr val="tx1"/>
              </a:solidFill>
            </a:rPr>
            <a:t>을 마우스 뚱뚱한 흰색 십자가 </a:t>
          </a:r>
          <a:r>
            <a:rPr lang="en-US" altLang="ko-KR" sz="1100" baseline="0">
              <a:solidFill>
                <a:schemeClr val="tx1"/>
              </a:solidFill>
            </a:rPr>
            <a:t>[ ➕ ] </a:t>
          </a:r>
          <a:r>
            <a:rPr lang="ko-KR" altLang="en-US" sz="1100" baseline="0">
              <a:solidFill>
                <a:schemeClr val="tx1"/>
              </a:solidFill>
            </a:rPr>
            <a:t>모양일 때 쭉 드래그합니다</a:t>
          </a:r>
          <a:r>
            <a:rPr lang="en-US" altLang="ko-KR" sz="1100" baseline="0">
              <a:solidFill>
                <a:schemeClr val="tx1"/>
              </a:solidFill>
            </a:rPr>
            <a:t>.</a:t>
          </a:r>
        </a:p>
        <a:p>
          <a:r>
            <a:rPr lang="ko-KR" altLang="en-US" sz="1100" baseline="0">
              <a:solidFill>
                <a:schemeClr val="tx1"/>
              </a:solidFill>
            </a:rPr>
            <a:t>그럼 수식창에 </a:t>
          </a:r>
          <a:r>
            <a:rPr lang="en-US" altLang="ko-KR" sz="1100" baseline="0">
              <a:solidFill>
                <a:schemeClr val="tx1"/>
              </a:solidFill>
            </a:rPr>
            <a:t>=SUM(D2:D10) </a:t>
          </a:r>
          <a:r>
            <a:rPr lang="ko-KR" altLang="en-US" sz="1100" baseline="0">
              <a:solidFill>
                <a:schemeClr val="tx1"/>
              </a:solidFill>
            </a:rPr>
            <a:t>이라고 자동으로 들어갑니다</a:t>
          </a:r>
          <a:r>
            <a:rPr lang="en-US" altLang="ko-KR" sz="1100" baseline="0">
              <a:solidFill>
                <a:schemeClr val="tx1"/>
              </a:solidFill>
            </a:rPr>
            <a:t>.</a:t>
          </a:r>
          <a:r>
            <a:rPr lang="ko-KR" altLang="en-US" sz="1100" baseline="0">
              <a:solidFill>
                <a:schemeClr val="tx1"/>
              </a:solidFill>
            </a:rPr>
            <a:t>마지막으로 키보드의 </a:t>
          </a:r>
          <a:r>
            <a:rPr lang="en-US" altLang="ko-KR" sz="1100" baseline="0">
              <a:solidFill>
                <a:schemeClr val="tx1"/>
              </a:solidFill>
            </a:rPr>
            <a:t>Enter (</a:t>
          </a:r>
          <a:r>
            <a:rPr lang="ko-KR" altLang="en-US" sz="1100" baseline="0">
              <a:solidFill>
                <a:schemeClr val="tx1"/>
              </a:solidFill>
            </a:rPr>
            <a:t>엔터</a:t>
          </a:r>
          <a:r>
            <a:rPr lang="en-US" altLang="ko-KR" sz="1100" baseline="0">
              <a:solidFill>
                <a:schemeClr val="tx1"/>
              </a:solidFill>
            </a:rPr>
            <a:t>)</a:t>
          </a:r>
          <a:r>
            <a:rPr lang="ko-KR" altLang="en-US" sz="1100" baseline="0">
              <a:solidFill>
                <a:schemeClr val="tx1"/>
              </a:solidFill>
            </a:rPr>
            <a:t>를 탁 치면 계산 끝입니다</a:t>
          </a:r>
          <a:r>
            <a:rPr lang="en-US" altLang="ko-KR" sz="1100" baseline="0">
              <a:solidFill>
                <a:schemeClr val="tx1"/>
              </a:solidFill>
            </a:rPr>
            <a:t>! (</a:t>
          </a:r>
          <a:r>
            <a:rPr lang="ko-KR" altLang="en-US" sz="1100" baseline="0">
              <a:solidFill>
                <a:schemeClr val="tx1"/>
              </a:solidFill>
            </a:rPr>
            <a:t>뒤에 닫는 괄호 </a:t>
          </a:r>
          <a:r>
            <a:rPr lang="en-US" altLang="ko-KR" sz="1100" baseline="0">
              <a:solidFill>
                <a:schemeClr val="tx1"/>
              </a:solidFill>
            </a:rPr>
            <a:t>)</a:t>
          </a:r>
          <a:r>
            <a:rPr lang="ko-KR" altLang="en-US" sz="1100" baseline="0">
              <a:solidFill>
                <a:schemeClr val="tx1"/>
              </a:solidFill>
            </a:rPr>
            <a:t>는 엑셀이 알아서 닫아주니 안 쓰셔도 됩니다</a:t>
          </a:r>
          <a:r>
            <a:rPr lang="en-US" altLang="ko-KR" sz="1100" baseline="0">
              <a:solidFill>
                <a:schemeClr val="tx1"/>
              </a:solidFill>
            </a:rPr>
            <a:t>.)</a:t>
          </a:r>
        </a:p>
        <a:p>
          <a:r>
            <a:rPr lang="en-US" altLang="ko-KR" sz="1100" baseline="0">
              <a:solidFill>
                <a:schemeClr val="tx1"/>
              </a:solidFill>
            </a:rPr>
            <a:t>****Auto sum; </a:t>
          </a:r>
          <a:r>
            <a:rPr lang="ko-KR" altLang="en-US" sz="1100" baseline="0">
              <a:solidFill>
                <a:schemeClr val="tx1"/>
              </a:solidFill>
            </a:rPr>
            <a:t>홈</a:t>
          </a:r>
          <a:r>
            <a:rPr lang="en-US" altLang="ko-KR" sz="1100" baseline="0">
              <a:solidFill>
                <a:schemeClr val="tx1"/>
              </a:solidFill>
            </a:rPr>
            <a:t>-</a:t>
          </a:r>
          <a:r>
            <a:rPr lang="ko-KR" altLang="en-US" sz="1100" baseline="0">
              <a:solidFill>
                <a:schemeClr val="tx1"/>
              </a:solidFill>
            </a:rPr>
            <a:t>시그마 기호</a:t>
          </a:r>
          <a:r>
            <a:rPr lang="en-US" altLang="ko-KR" sz="1100" baseline="0">
              <a:solidFill>
                <a:schemeClr val="tx1"/>
              </a:solidFill>
            </a:rPr>
            <a:t>; </a:t>
          </a:r>
          <a:r>
            <a:rPr lang="ko-KR" altLang="en-US" sz="1100" baseline="0">
              <a:solidFill>
                <a:schemeClr val="tx1"/>
              </a:solidFill>
            </a:rPr>
            <a:t>한 열의 맨 밑 셀 잡고 </a:t>
          </a:r>
          <a:r>
            <a:rPr lang="en-US" altLang="ko-KR" sz="1100" baseline="0">
              <a:solidFill>
                <a:schemeClr val="tx1"/>
              </a:solidFill>
            </a:rPr>
            <a:t>Autosum</a:t>
          </a:r>
          <a:r>
            <a:rPr lang="ko-KR" altLang="en-US" sz="1100" baseline="0">
              <a:solidFill>
                <a:schemeClr val="tx1"/>
              </a:solidFill>
            </a:rPr>
            <a:t>하면 그 열의 값 전체가 더해져 그 셀에 쓰임</a:t>
          </a:r>
          <a:endParaRPr lang="en-US" altLang="ko-KR" sz="1100" baseline="0">
            <a:solidFill>
              <a:schemeClr val="tx1"/>
            </a:solidFill>
          </a:endParaRPr>
        </a:p>
        <a:p>
          <a:endParaRPr lang="en-US" altLang="ko-KR" sz="1100" baseline="0">
            <a:solidFill>
              <a:schemeClr val="tx1"/>
            </a:solidFill>
          </a:endParaRPr>
        </a:p>
        <a:p>
          <a:endParaRPr lang="en-US" altLang="ko-KR" sz="1100" baseline="0">
            <a:solidFill>
              <a:schemeClr val="tx1"/>
            </a:solidFill>
          </a:endParaRPr>
        </a:p>
        <a:p>
          <a:endParaRPr lang="en-US" altLang="ko-KR" sz="1100" baseline="0">
            <a:solidFill>
              <a:schemeClr val="tx1"/>
            </a:solidFill>
          </a:endParaRPr>
        </a:p>
        <a:p>
          <a:r>
            <a:rPr lang="en-US" altLang="ko-KR" sz="1100" b="1" baseline="0">
              <a:solidFill>
                <a:schemeClr val="tx1"/>
              </a:solidFill>
            </a:rPr>
            <a:t>-IF</a:t>
          </a:r>
        </a:p>
        <a:p>
          <a:endParaRPr lang="en-US" altLang="ko-KR" sz="1100" b="1" baseline="0">
            <a:solidFill>
              <a:schemeClr val="tx1"/>
            </a:solidFill>
          </a:endParaRPr>
        </a:p>
        <a:p>
          <a:endParaRPr lang="en-US" altLang="ko-KR" sz="1100" b="1" baseline="0">
            <a:solidFill>
              <a:schemeClr val="tx1"/>
            </a:solidFill>
          </a:endParaRPr>
        </a:p>
        <a:p>
          <a:r>
            <a:rPr lang="en-US" altLang="ko-KR" sz="1100" b="1" baseline="0">
              <a:solidFill>
                <a:schemeClr val="tx1"/>
              </a:solidFill>
            </a:rPr>
            <a:t>-Average</a:t>
          </a:r>
        </a:p>
        <a:p>
          <a:r>
            <a:rPr lang="en-US" altLang="ko-KR" sz="1100" b="1" baseline="0">
              <a:solidFill>
                <a:schemeClr val="tx1"/>
              </a:solidFill>
            </a:rPr>
            <a:t>-Max/Min</a:t>
          </a:r>
        </a:p>
        <a:p>
          <a:r>
            <a:rPr lang="en-US" altLang="ko-KR" sz="1100" b="1" baseline="0">
              <a:solidFill>
                <a:schemeClr val="tx1"/>
              </a:solidFill>
            </a:rPr>
            <a:t>-Count</a:t>
          </a:r>
        </a:p>
        <a:p>
          <a:endParaRPr lang="en-US" altLang="ko-KR" sz="1100" baseline="0">
            <a:solidFill>
              <a:schemeClr val="tx1"/>
            </a:solidFill>
          </a:endParaRPr>
        </a:p>
        <a:p>
          <a:r>
            <a:rPr lang="en-US" altLang="ko-KR" sz="1100" b="1" baseline="0">
              <a:solidFill>
                <a:schemeClr val="tx1"/>
              </a:solidFill>
            </a:rPr>
            <a:t>&lt;FORMATTING&gt; </a:t>
          </a:r>
          <a:r>
            <a:rPr lang="ko-KR" altLang="en-US" sz="1100" b="1" baseline="0">
              <a:solidFill>
                <a:schemeClr val="tx1"/>
              </a:solidFill>
            </a:rPr>
            <a:t>홈</a:t>
          </a:r>
          <a:r>
            <a:rPr lang="en-US" altLang="ko-KR" sz="1100" b="1" baseline="0">
              <a:solidFill>
                <a:schemeClr val="tx1"/>
              </a:solidFill>
            </a:rPr>
            <a:t>-</a:t>
          </a:r>
          <a:r>
            <a:rPr lang="ko-KR" altLang="en-US" sz="1100" b="1" baseline="0">
              <a:solidFill>
                <a:schemeClr val="tx1"/>
              </a:solidFill>
            </a:rPr>
            <a:t>표시형식</a:t>
          </a:r>
          <a:r>
            <a:rPr lang="en-US" altLang="ko-KR" sz="1100" b="1" baseline="0">
              <a:solidFill>
                <a:schemeClr val="tx1"/>
              </a:solidFill>
            </a:rPr>
            <a:t>-</a:t>
          </a:r>
          <a:r>
            <a:rPr lang="ko-KR" altLang="en-US" sz="1100" b="1" baseline="0">
              <a:solidFill>
                <a:schemeClr val="tx1"/>
              </a:solidFill>
            </a:rPr>
            <a:t>일반</a:t>
          </a:r>
          <a:r>
            <a:rPr lang="en-US" altLang="ko-KR" sz="1100" b="1" baseline="0">
              <a:solidFill>
                <a:schemeClr val="tx1"/>
              </a:solidFill>
            </a:rPr>
            <a:t>---&gt;</a:t>
          </a:r>
          <a:r>
            <a:rPr lang="ko-KR" altLang="en-US" sz="1100" b="1" baseline="0">
              <a:solidFill>
                <a:schemeClr val="tx1"/>
              </a:solidFill>
            </a:rPr>
            <a:t>원하는 형식</a:t>
          </a:r>
          <a:endParaRPr lang="en-US" altLang="ko-KR" sz="1100" b="1" baseline="0">
            <a:solidFill>
              <a:schemeClr val="tx1"/>
            </a:solidFill>
          </a:endParaRPr>
        </a:p>
        <a:p>
          <a:r>
            <a:rPr lang="en-US" altLang="ko-KR" sz="1100" baseline="0">
              <a:solidFill>
                <a:schemeClr val="tx1"/>
              </a:solidFill>
            </a:rPr>
            <a:t>to be obvious </a:t>
          </a:r>
        </a:p>
        <a:p>
          <a:endParaRPr lang="en-US" altLang="ko-KR" sz="1100" baseline="0">
            <a:solidFill>
              <a:schemeClr val="tx1"/>
            </a:solidFill>
          </a:endParaRPr>
        </a:p>
        <a:p>
          <a:r>
            <a:rPr lang="ko-KR" altLang="en-US" sz="1100" baseline="0">
              <a:solidFill>
                <a:schemeClr val="tx1"/>
              </a:solidFill>
            </a:rPr>
            <a:t>글자</a:t>
          </a:r>
          <a:r>
            <a:rPr lang="en-US" altLang="ko-KR" sz="1100" baseline="0">
              <a:solidFill>
                <a:schemeClr val="tx1"/>
              </a:solidFill>
            </a:rPr>
            <a:t>-</a:t>
          </a:r>
          <a:r>
            <a:rPr lang="ko-KR" altLang="en-US" sz="1100" baseline="0">
              <a:solidFill>
                <a:schemeClr val="tx1"/>
              </a:solidFill>
            </a:rPr>
            <a:t>좌측으로 정렬</a:t>
          </a:r>
          <a:endParaRPr lang="en-US" altLang="ko-KR" sz="1100" baseline="0">
            <a:solidFill>
              <a:schemeClr val="tx1"/>
            </a:solidFill>
          </a:endParaRPr>
        </a:p>
        <a:p>
          <a:r>
            <a:rPr lang="ko-KR" altLang="en-US" sz="1100" baseline="0">
              <a:solidFill>
                <a:schemeClr val="tx1"/>
              </a:solidFill>
            </a:rPr>
            <a:t>숫자로 인식</a:t>
          </a:r>
          <a:r>
            <a:rPr lang="en-US" altLang="ko-KR" sz="1100" baseline="0">
              <a:solidFill>
                <a:schemeClr val="tx1"/>
              </a:solidFill>
            </a:rPr>
            <a:t>-</a:t>
          </a:r>
          <a:r>
            <a:rPr lang="ko-KR" altLang="en-US" sz="1100" baseline="0">
              <a:solidFill>
                <a:schemeClr val="tx1"/>
              </a:solidFill>
            </a:rPr>
            <a:t>우측으로 정렬</a:t>
          </a:r>
          <a:endParaRPr lang="en-US" altLang="ko-KR" sz="1100" baseline="0">
            <a:solidFill>
              <a:schemeClr val="tx1"/>
            </a:solidFill>
          </a:endParaRPr>
        </a:p>
        <a:p>
          <a:r>
            <a:rPr lang="ko-KR" altLang="en-US" sz="1100" baseline="0">
              <a:solidFill>
                <a:schemeClr val="tx1"/>
              </a:solidFill>
            </a:rPr>
            <a:t>정렬방식</a:t>
          </a:r>
          <a:r>
            <a:rPr lang="en-US" altLang="ko-KR" sz="1100" baseline="0">
              <a:solidFill>
                <a:schemeClr val="tx1"/>
              </a:solidFill>
            </a:rPr>
            <a:t>; allignment options </a:t>
          </a:r>
        </a:p>
        <a:p>
          <a:endParaRPr lang="en-US" altLang="ko-KR" sz="1100" baseline="0">
            <a:solidFill>
              <a:schemeClr val="tx1"/>
            </a:solidFill>
          </a:endParaRPr>
        </a:p>
        <a:p>
          <a:r>
            <a:rPr lang="en-US" altLang="ko-KR" sz="1100" baseline="0">
              <a:solidFill>
                <a:schemeClr val="tx1"/>
              </a:solidFill>
            </a:rPr>
            <a:t>**auto fromat</a:t>
          </a:r>
          <a:r>
            <a:rPr lang="ko-KR" altLang="en-US" sz="1100" baseline="0">
              <a:solidFill>
                <a:schemeClr val="tx1"/>
              </a:solidFill>
            </a:rPr>
            <a:t>자동 포맷</a:t>
          </a:r>
          <a:r>
            <a:rPr lang="en-US" altLang="ko-KR" sz="1100" baseline="0">
              <a:solidFill>
                <a:schemeClr val="tx1"/>
              </a:solidFill>
            </a:rPr>
            <a:t>**</a:t>
          </a:r>
        </a:p>
        <a:p>
          <a:endParaRPr lang="en-US" altLang="ko-KR" sz="1100" baseline="0">
            <a:solidFill>
              <a:schemeClr val="tx1"/>
            </a:solidFill>
          </a:endParaRPr>
        </a:p>
        <a:p>
          <a:endParaRPr lang="en-US" altLang="ko-KR" sz="1100" baseline="0">
            <a:solidFill>
              <a:schemeClr val="tx1"/>
            </a:solidFill>
          </a:endParaRPr>
        </a:p>
        <a:p>
          <a:r>
            <a:rPr lang="en-US" altLang="ko-KR" sz="1100" baseline="0">
              <a:solidFill>
                <a:schemeClr val="tx1"/>
              </a:solidFill>
            </a:rPr>
            <a:t>-</a:t>
          </a:r>
          <a:r>
            <a:rPr lang="ko-KR" altLang="en-US" sz="1100" baseline="0">
              <a:solidFill>
                <a:schemeClr val="tx1"/>
              </a:solidFill>
            </a:rPr>
            <a:t>전체 열이나 행을 글자체 등등 바꾸고 싶다면 열이나 행 통으로 선택</a:t>
          </a:r>
          <a:r>
            <a:rPr lang="en-US" altLang="ko-KR" sz="1100" baseline="0">
              <a:solidFill>
                <a:schemeClr val="tx1"/>
              </a:solidFill>
            </a:rPr>
            <a:t>(</a:t>
          </a:r>
          <a:r>
            <a:rPr lang="ko-KR" altLang="en-US" sz="1100" baseline="0">
              <a:solidFill>
                <a:schemeClr val="tx1"/>
              </a:solidFill>
            </a:rPr>
            <a:t>맨 위나 옆 숫자나 알파벳</a:t>
          </a:r>
          <a:r>
            <a:rPr lang="en-US" altLang="ko-KR" sz="1100" baseline="0">
              <a:solidFill>
                <a:schemeClr val="tx1"/>
              </a:solidFill>
            </a:rPr>
            <a:t>)</a:t>
          </a:r>
        </a:p>
        <a:p>
          <a:endParaRPr lang="en-US" altLang="ko-KR" sz="1100" baseline="0">
            <a:solidFill>
              <a:schemeClr val="tx1"/>
            </a:solidFill>
          </a:endParaRPr>
        </a:p>
        <a:p>
          <a:endParaRPr lang="en-US" altLang="ko-KR" sz="1100" baseline="0">
            <a:solidFill>
              <a:schemeClr val="tx1"/>
            </a:solidFill>
          </a:endParaRPr>
        </a:p>
        <a:p>
          <a:r>
            <a:rPr lang="en-US" altLang="ko-KR" sz="1100" b="1" baseline="0">
              <a:solidFill>
                <a:schemeClr val="tx1"/>
              </a:solidFill>
            </a:rPr>
            <a:t>-</a:t>
          </a:r>
          <a:r>
            <a:rPr lang="ko-KR" altLang="en-US" sz="1100" b="1" baseline="0">
              <a:solidFill>
                <a:schemeClr val="tx1"/>
              </a:solidFill>
            </a:rPr>
            <a:t>만약 다른 셀에 설정한 포맷을 그대로 적용하고싶다면</a:t>
          </a:r>
          <a:r>
            <a:rPr lang="en-US" altLang="ko-KR" sz="1100" b="1" baseline="0">
              <a:solidFill>
                <a:schemeClr val="tx1"/>
              </a:solidFill>
            </a:rPr>
            <a:t>; </a:t>
          </a:r>
          <a:r>
            <a:rPr lang="ko-KR" altLang="en-US" sz="1100" b="1" baseline="0">
              <a:solidFill>
                <a:schemeClr val="tx1"/>
              </a:solidFill>
            </a:rPr>
            <a:t>적용된 셀 선택</a:t>
          </a:r>
          <a:r>
            <a:rPr lang="en-US" altLang="ko-KR" sz="1100" b="1" baseline="0">
              <a:solidFill>
                <a:schemeClr val="tx1"/>
              </a:solidFill>
            </a:rPr>
            <a:t>-</a:t>
          </a:r>
          <a:r>
            <a:rPr lang="ko-KR" altLang="en-US" sz="1100" b="1" baseline="0">
              <a:solidFill>
                <a:schemeClr val="tx1"/>
              </a:solidFill>
            </a:rPr>
            <a:t>홈</a:t>
          </a:r>
          <a:r>
            <a:rPr lang="en-US" altLang="ko-KR" sz="1100" b="1" baseline="0">
              <a:solidFill>
                <a:schemeClr val="tx1"/>
              </a:solidFill>
            </a:rPr>
            <a:t>-</a:t>
          </a:r>
          <a:r>
            <a:rPr lang="ko-KR" altLang="en-US" sz="1100" b="1" baseline="0">
              <a:solidFill>
                <a:schemeClr val="tx1"/>
              </a:solidFill>
            </a:rPr>
            <a:t>클립보드</a:t>
          </a:r>
          <a:r>
            <a:rPr lang="en-US" altLang="ko-KR" sz="1100" b="1" baseline="0">
              <a:solidFill>
                <a:schemeClr val="tx1"/>
              </a:solidFill>
            </a:rPr>
            <a:t>-</a:t>
          </a:r>
          <a:r>
            <a:rPr lang="ko-KR" altLang="en-US" sz="1100" b="1" baseline="0">
              <a:solidFill>
                <a:schemeClr val="tx1"/>
              </a:solidFill>
            </a:rPr>
            <a:t>서식복사 클릭</a:t>
          </a:r>
          <a:r>
            <a:rPr lang="en-US" altLang="ko-KR" sz="1100" b="1" baseline="0">
              <a:solidFill>
                <a:schemeClr val="tx1"/>
              </a:solidFill>
            </a:rPr>
            <a:t>-</a:t>
          </a:r>
          <a:r>
            <a:rPr lang="ko-KR" altLang="en-US" sz="1100" b="1" baseline="0">
              <a:solidFill>
                <a:schemeClr val="tx1"/>
              </a:solidFill>
            </a:rPr>
            <a:t>적용하고싶은 셀을 클릭하면됨</a:t>
          </a:r>
          <a:endParaRPr lang="en-US" altLang="ko-KR" sz="1100" b="1" baseline="0">
            <a:solidFill>
              <a:schemeClr val="tx1"/>
            </a:solidFill>
          </a:endParaRPr>
        </a:p>
        <a:p>
          <a:r>
            <a:rPr lang="en-US" altLang="ko-KR" sz="1100" b="1" baseline="0">
              <a:solidFill>
                <a:schemeClr val="tx1"/>
              </a:solidFill>
            </a:rPr>
            <a:t>-</a:t>
          </a:r>
          <a:r>
            <a:rPr lang="ko-KR" altLang="en-US" sz="1100" b="1" baseline="0">
              <a:solidFill>
                <a:schemeClr val="tx1"/>
              </a:solidFill>
            </a:rPr>
            <a:t>더블클릭해서 서식복사 누르면 클릭하는 모든 셀에 적용됨</a:t>
          </a:r>
          <a:r>
            <a:rPr lang="en-US" altLang="ko-KR" sz="1100" b="1" baseline="0">
              <a:solidFill>
                <a:schemeClr val="tx1"/>
              </a:solidFill>
            </a:rPr>
            <a:t>(</a:t>
          </a:r>
          <a:r>
            <a:rPr lang="ko-KR" altLang="en-US" sz="1100" b="1" baseline="0">
              <a:solidFill>
                <a:schemeClr val="tx1"/>
              </a:solidFill>
            </a:rPr>
            <a:t>레인지로도 가능</a:t>
          </a:r>
          <a:r>
            <a:rPr lang="en-US" altLang="ko-KR" sz="1100" b="1" baseline="0">
              <a:solidFill>
                <a:schemeClr val="tx1"/>
              </a:solidFill>
            </a:rPr>
            <a:t>)</a:t>
          </a:r>
        </a:p>
        <a:p>
          <a:r>
            <a:rPr lang="en-US" altLang="ko-KR" sz="1100" baseline="0">
              <a:solidFill>
                <a:schemeClr val="tx1"/>
              </a:solidFill>
            </a:rPr>
            <a:t>-</a:t>
          </a:r>
          <a:r>
            <a:rPr lang="ko-KR" altLang="en-US" sz="1100" baseline="0">
              <a:solidFill>
                <a:schemeClr val="tx1"/>
              </a:solidFill>
            </a:rPr>
            <a:t> </a:t>
          </a:r>
          <a:endParaRPr lang="en-US" altLang="ko-KR" sz="1100" baseline="0">
            <a:solidFill>
              <a:schemeClr val="tx1"/>
            </a:solidFill>
          </a:endParaRPr>
        </a:p>
        <a:p>
          <a:endParaRPr lang="en-US" altLang="ko-KR" sz="1100" baseline="0">
            <a:solidFill>
              <a:schemeClr val="tx1"/>
            </a:solidFill>
          </a:endParaRPr>
        </a:p>
        <a:p>
          <a:endParaRPr lang="en-US" altLang="ko-KR" sz="1100" baseline="0">
            <a:solidFill>
              <a:schemeClr val="tx1"/>
            </a:solidFill>
          </a:endParaRPr>
        </a:p>
        <a:p>
          <a:r>
            <a:rPr lang="en-US" altLang="ko-KR" sz="1100" b="1" baseline="0">
              <a:solidFill>
                <a:schemeClr val="tx1"/>
              </a:solidFill>
            </a:rPr>
            <a:t>&lt;CHARTS&gt;</a:t>
          </a:r>
        </a:p>
        <a:p>
          <a:r>
            <a:rPr lang="ko-KR" altLang="en-US" sz="1100" b="1" baseline="0">
              <a:solidFill>
                <a:schemeClr val="tx1"/>
              </a:solidFill>
            </a:rPr>
            <a:t>원하는 유의미한 데이터 레인지선택</a:t>
          </a:r>
          <a:r>
            <a:rPr lang="en-US" altLang="ko-KR" sz="1100" b="1" baseline="0">
              <a:solidFill>
                <a:schemeClr val="tx1"/>
              </a:solidFill>
            </a:rPr>
            <a:t>- ALT+ F1</a:t>
          </a:r>
          <a:r>
            <a:rPr lang="ko-KR" altLang="en-US" sz="1100" b="1" baseline="0">
              <a:solidFill>
                <a:schemeClr val="tx1"/>
              </a:solidFill>
            </a:rPr>
            <a:t>키 </a:t>
          </a:r>
          <a:r>
            <a:rPr lang="en-US" altLang="ko-KR" sz="1100" b="1" baseline="0">
              <a:solidFill>
                <a:schemeClr val="tx1"/>
              </a:solidFill>
            </a:rPr>
            <a:t>-</a:t>
          </a:r>
          <a:r>
            <a:rPr lang="ko-KR" altLang="en-US" sz="1100" b="1" baseline="0">
              <a:solidFill>
                <a:schemeClr val="tx1"/>
              </a:solidFill>
            </a:rPr>
            <a:t>차트디자인</a:t>
          </a:r>
          <a:endParaRPr lang="en-US" altLang="ko-KR" sz="1100" b="1" baseline="0">
            <a:solidFill>
              <a:schemeClr val="tx1"/>
            </a:solidFill>
          </a:endParaRPr>
        </a:p>
        <a:p>
          <a:endParaRPr lang="en-US" altLang="ko-KR" sz="1100" baseline="0">
            <a:solidFill>
              <a:schemeClr val="tx1"/>
            </a:solidFill>
          </a:endParaRPr>
        </a:p>
        <a:p>
          <a:endParaRPr lang="en-US" altLang="ko-KR" sz="1100" baseline="0">
            <a:solidFill>
              <a:schemeClr val="tx1"/>
            </a:solidFill>
          </a:endParaRPr>
        </a:p>
        <a:p>
          <a:endParaRPr lang="en-US" altLang="ko-KR" sz="1100" baseline="0">
            <a:solidFill>
              <a:schemeClr val="tx1"/>
            </a:solidFill>
          </a:endParaRPr>
        </a:p>
        <a:p>
          <a:endParaRPr lang="en-US" altLang="ko-KR" sz="1100" baseline="0">
            <a:solidFill>
              <a:schemeClr val="tx1"/>
            </a:solidFill>
          </a:endParaRPr>
        </a:p>
        <a:p>
          <a:r>
            <a:rPr lang="en-US" altLang="ko-KR" sz="1100" b="1" baseline="0">
              <a:solidFill>
                <a:schemeClr val="tx1"/>
              </a:solidFill>
            </a:rPr>
            <a:t>**</a:t>
          </a:r>
          <a:r>
            <a:rPr lang="ko-KR" altLang="en-US" sz="1100" b="1" baseline="0">
              <a:solidFill>
                <a:schemeClr val="tx1"/>
              </a:solidFill>
            </a:rPr>
            <a:t>출력 시</a:t>
          </a:r>
          <a:r>
            <a:rPr lang="en-US" altLang="ko-KR" sz="1100" b="1" baseline="0">
              <a:solidFill>
                <a:schemeClr val="tx1"/>
              </a:solidFill>
            </a:rPr>
            <a:t>; </a:t>
          </a:r>
          <a:r>
            <a:rPr lang="ko-KR" altLang="en-US" sz="1100" b="1" baseline="0">
              <a:solidFill>
                <a:schemeClr val="tx1"/>
              </a:solidFill>
            </a:rPr>
            <a:t>페이지 레이아웃</a:t>
          </a:r>
          <a:r>
            <a:rPr lang="en-US" altLang="ko-KR" sz="1100" b="1" baseline="0">
              <a:solidFill>
                <a:schemeClr val="tx1"/>
              </a:solidFill>
            </a:rPr>
            <a:t>- </a:t>
          </a:r>
          <a:r>
            <a:rPr lang="ko-KR" altLang="en-US" sz="1100" b="1" baseline="0">
              <a:solidFill>
                <a:schemeClr val="tx1"/>
              </a:solidFill>
            </a:rPr>
            <a:t>용지 방향</a:t>
          </a:r>
          <a:r>
            <a:rPr lang="en-US" altLang="ko-KR" sz="1100" b="1" baseline="0">
              <a:solidFill>
                <a:schemeClr val="tx1"/>
              </a:solidFill>
            </a:rPr>
            <a:t>- </a:t>
          </a:r>
          <a:r>
            <a:rPr lang="ko-KR" altLang="en-US" sz="1100" b="1" baseline="0">
              <a:solidFill>
                <a:schemeClr val="tx1"/>
              </a:solidFill>
            </a:rPr>
            <a:t>세로에서 가로로 변환</a:t>
          </a:r>
          <a:endParaRPr lang="en-US" altLang="ko-KR" sz="1100" b="1" baseline="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14</xdr:col>
      <xdr:colOff>298450</xdr:colOff>
      <xdr:row>29</xdr:row>
      <xdr:rowOff>196850</xdr:rowOff>
    </xdr:from>
    <xdr:to>
      <xdr:col>23</xdr:col>
      <xdr:colOff>423231</xdr:colOff>
      <xdr:row>32</xdr:row>
      <xdr:rowOff>133350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1208BCA-199F-DE26-3AD6-40EBA2C3F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96800" y="6457950"/>
          <a:ext cx="6068381" cy="5842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</xdr:colOff>
      <xdr:row>60</xdr:row>
      <xdr:rowOff>133350</xdr:rowOff>
    </xdr:from>
    <xdr:to>
      <xdr:col>18</xdr:col>
      <xdr:colOff>619485</xdr:colOff>
      <xdr:row>62</xdr:row>
      <xdr:rowOff>120708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3A79DC5-4B48-1A8D-1508-78DA2FD32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77800" y="13087350"/>
          <a:ext cx="2581635" cy="419158"/>
        </a:xfrm>
        <a:prstGeom prst="rect">
          <a:avLst/>
        </a:prstGeom>
      </xdr:spPr>
    </xdr:pic>
    <xdr:clientData/>
  </xdr:twoCellAnchor>
  <xdr:twoCellAnchor>
    <xdr:from>
      <xdr:col>1</xdr:col>
      <xdr:colOff>76200</xdr:colOff>
      <xdr:row>53</xdr:row>
      <xdr:rowOff>82550</xdr:rowOff>
    </xdr:from>
    <xdr:to>
      <xdr:col>5</xdr:col>
      <xdr:colOff>1250950</xdr:colOff>
      <xdr:row>73</xdr:row>
      <xdr:rowOff>184150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C49EB213-04E4-5AA7-1239-E54729264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4B1B8-D8C0-4997-B573-07648E67BCBA}">
  <sheetPr>
    <pageSetUpPr fitToPage="1"/>
  </sheetPr>
  <dimension ref="A1:M100"/>
  <sheetViews>
    <sheetView tabSelected="1" zoomScaleNormal="100" workbookViewId="0">
      <selection activeCell="N3" sqref="N3"/>
    </sheetView>
  </sheetViews>
  <sheetFormatPr defaultRowHeight="17" x14ac:dyDescent="0.45"/>
  <cols>
    <col min="1" max="1" width="10.58203125" bestFit="1" customWidth="1"/>
    <col min="2" max="2" width="9.6640625" style="3" bestFit="1" customWidth="1"/>
    <col min="3" max="3" width="21" style="1" bestFit="1" customWidth="1"/>
    <col min="4" max="4" width="21" bestFit="1" customWidth="1"/>
    <col min="5" max="5" width="15.6640625" style="2" bestFit="1" customWidth="1"/>
    <col min="6" max="6" width="16.75" style="2" bestFit="1" customWidth="1"/>
    <col min="8" max="8" width="5.1640625" bestFit="1" customWidth="1"/>
    <col min="9" max="9" width="5.4140625" bestFit="1" customWidth="1"/>
    <col min="10" max="10" width="10.5" bestFit="1" customWidth="1"/>
    <col min="13" max="13" width="13.1640625" bestFit="1" customWidth="1"/>
  </cols>
  <sheetData>
    <row r="1" spans="1:13" s="5" customFormat="1" x14ac:dyDescent="0.45">
      <c r="A1" s="28" t="s">
        <v>69</v>
      </c>
      <c r="B1" s="29" t="s">
        <v>70</v>
      </c>
      <c r="C1" s="30" t="s">
        <v>71</v>
      </c>
      <c r="D1" s="31" t="s">
        <v>72</v>
      </c>
      <c r="E1" s="32" t="s">
        <v>73</v>
      </c>
      <c r="F1" s="32" t="s">
        <v>74</v>
      </c>
      <c r="G1" s="31" t="s">
        <v>75</v>
      </c>
      <c r="H1" s="31">
        <v>7.0000000000000007E-2</v>
      </c>
      <c r="I1" s="31" t="s">
        <v>81</v>
      </c>
      <c r="J1" s="31"/>
    </row>
    <row r="2" spans="1:13" x14ac:dyDescent="0.45">
      <c r="A2" s="14">
        <v>1</v>
      </c>
      <c r="B2" s="15" t="s">
        <v>0</v>
      </c>
      <c r="C2" s="12">
        <v>14.25</v>
      </c>
      <c r="D2" s="11">
        <v>158</v>
      </c>
      <c r="E2" s="13">
        <f>C2*D2</f>
        <v>2251.5</v>
      </c>
      <c r="F2" s="13"/>
      <c r="G2" s="11"/>
      <c r="H2" s="11"/>
      <c r="I2" s="11"/>
      <c r="J2" s="11">
        <f>C2*D2</f>
        <v>2251.5</v>
      </c>
      <c r="M2" s="4">
        <f>F87*$J5</f>
        <v>337476.5625</v>
      </c>
    </row>
    <row r="3" spans="1:13" x14ac:dyDescent="0.45">
      <c r="A3" s="14">
        <v>2</v>
      </c>
      <c r="B3" s="15" t="s">
        <v>2</v>
      </c>
      <c r="C3" s="12">
        <v>15.5</v>
      </c>
      <c r="D3" s="11">
        <v>160</v>
      </c>
      <c r="E3" s="13">
        <f>C3*D3</f>
        <v>2480</v>
      </c>
      <c r="F3" s="13"/>
      <c r="G3" s="11"/>
      <c r="H3" s="11"/>
      <c r="I3" s="11"/>
      <c r="J3" s="11">
        <f t="shared" ref="J3:J66" si="0">C3*D3</f>
        <v>2480</v>
      </c>
    </row>
    <row r="4" spans="1:13" x14ac:dyDescent="0.45">
      <c r="A4" s="16">
        <v>3</v>
      </c>
      <c r="B4" s="17" t="s">
        <v>1</v>
      </c>
      <c r="C4" s="7">
        <v>17</v>
      </c>
      <c r="D4" s="6">
        <v>125</v>
      </c>
      <c r="E4" s="8">
        <f>C4*D4</f>
        <v>2125</v>
      </c>
      <c r="F4" s="8"/>
      <c r="G4" s="6"/>
      <c r="H4" s="6"/>
      <c r="I4" s="6"/>
      <c r="J4" s="6">
        <f t="shared" si="0"/>
        <v>2125</v>
      </c>
    </row>
    <row r="5" spans="1:13" x14ac:dyDescent="0.45">
      <c r="A5" s="16">
        <v>4</v>
      </c>
      <c r="B5" s="17" t="s">
        <v>3</v>
      </c>
      <c r="C5" s="7">
        <v>13.75</v>
      </c>
      <c r="D5" s="6">
        <v>165</v>
      </c>
      <c r="E5" s="8">
        <f t="shared" ref="E5:E67" si="1">C5*D5</f>
        <v>2268.75</v>
      </c>
      <c r="F5" s="8"/>
      <c r="G5" s="6"/>
      <c r="H5" s="6"/>
      <c r="I5" s="6"/>
      <c r="J5" s="6">
        <f t="shared" si="0"/>
        <v>2268.75</v>
      </c>
    </row>
    <row r="6" spans="1:13" x14ac:dyDescent="0.45">
      <c r="A6" s="14">
        <v>5</v>
      </c>
      <c r="B6" s="15" t="s">
        <v>4</v>
      </c>
      <c r="C6" s="12">
        <v>15.5</v>
      </c>
      <c r="D6" s="11">
        <v>144</v>
      </c>
      <c r="E6" s="13">
        <f t="shared" si="1"/>
        <v>2232</v>
      </c>
      <c r="F6" s="13"/>
      <c r="G6" s="11"/>
      <c r="H6" s="11"/>
      <c r="I6" s="11"/>
      <c r="J6" s="11">
        <f t="shared" si="0"/>
        <v>2232</v>
      </c>
    </row>
    <row r="7" spans="1:13" x14ac:dyDescent="0.45">
      <c r="A7" s="14">
        <v>6</v>
      </c>
      <c r="B7" s="15" t="s">
        <v>5</v>
      </c>
      <c r="C7" s="12">
        <v>17</v>
      </c>
      <c r="D7" s="11">
        <v>174</v>
      </c>
      <c r="E7" s="13">
        <f>C7*D7</f>
        <v>2958</v>
      </c>
      <c r="F7" s="13"/>
      <c r="G7" s="11"/>
      <c r="H7" s="11"/>
      <c r="I7" s="11"/>
      <c r="J7" s="11">
        <f t="shared" si="0"/>
        <v>2958</v>
      </c>
    </row>
    <row r="8" spans="1:13" x14ac:dyDescent="0.45">
      <c r="A8" s="16">
        <v>7</v>
      </c>
      <c r="B8" s="17" t="s">
        <v>43</v>
      </c>
      <c r="C8" s="7">
        <v>13.75</v>
      </c>
      <c r="D8" s="6">
        <v>161</v>
      </c>
      <c r="E8" s="8">
        <f t="shared" si="1"/>
        <v>2213.75</v>
      </c>
      <c r="F8" s="8"/>
      <c r="G8" s="6"/>
      <c r="H8" s="6"/>
      <c r="I8" s="6"/>
      <c r="J8" s="6">
        <f t="shared" si="0"/>
        <v>2213.75</v>
      </c>
    </row>
    <row r="9" spans="1:13" x14ac:dyDescent="0.45">
      <c r="A9" s="16">
        <v>8</v>
      </c>
      <c r="B9" s="17" t="s">
        <v>6</v>
      </c>
      <c r="C9" s="7">
        <v>15.5</v>
      </c>
      <c r="D9" s="6">
        <v>69</v>
      </c>
      <c r="E9" s="8">
        <f t="shared" si="1"/>
        <v>1069.5</v>
      </c>
      <c r="F9" s="8"/>
      <c r="G9" s="6"/>
      <c r="H9" s="6"/>
      <c r="I9" s="6"/>
      <c r="J9" s="6">
        <f t="shared" si="0"/>
        <v>1069.5</v>
      </c>
    </row>
    <row r="10" spans="1:13" x14ac:dyDescent="0.45">
      <c r="A10" s="14">
        <v>9</v>
      </c>
      <c r="B10" s="15" t="s">
        <v>7</v>
      </c>
      <c r="C10" s="12">
        <v>10.75</v>
      </c>
      <c r="D10" s="11">
        <v>85</v>
      </c>
      <c r="E10" s="13">
        <f t="shared" si="1"/>
        <v>913.75</v>
      </c>
      <c r="F10" s="13"/>
      <c r="G10" s="11"/>
      <c r="H10" s="11"/>
      <c r="I10" s="11"/>
      <c r="J10" s="11">
        <f t="shared" si="0"/>
        <v>913.75</v>
      </c>
    </row>
    <row r="11" spans="1:13" x14ac:dyDescent="0.45">
      <c r="A11" s="14">
        <v>10</v>
      </c>
      <c r="B11" s="15" t="s">
        <v>8</v>
      </c>
      <c r="C11" s="12">
        <v>15.5</v>
      </c>
      <c r="D11" s="11">
        <v>117</v>
      </c>
      <c r="E11" s="13">
        <f t="shared" si="1"/>
        <v>1813.5</v>
      </c>
      <c r="F11" s="13"/>
      <c r="G11" s="11"/>
      <c r="H11" s="11"/>
      <c r="I11" s="11"/>
      <c r="J11" s="11">
        <f t="shared" si="0"/>
        <v>1813.5</v>
      </c>
    </row>
    <row r="12" spans="1:13" x14ac:dyDescent="0.45">
      <c r="A12" s="16">
        <v>11</v>
      </c>
      <c r="B12" s="17" t="s">
        <v>44</v>
      </c>
      <c r="C12" s="7">
        <v>12</v>
      </c>
      <c r="D12" s="6">
        <v>160</v>
      </c>
      <c r="E12" s="8">
        <f t="shared" si="1"/>
        <v>1920</v>
      </c>
      <c r="F12" s="8"/>
      <c r="G12" s="6"/>
      <c r="H12" s="6"/>
      <c r="I12" s="6"/>
      <c r="J12" s="6">
        <f t="shared" si="0"/>
        <v>1920</v>
      </c>
    </row>
    <row r="13" spans="1:13" x14ac:dyDescent="0.45">
      <c r="A13" s="16">
        <v>12</v>
      </c>
      <c r="B13" s="17" t="s">
        <v>9</v>
      </c>
      <c r="C13" s="7">
        <v>15.5</v>
      </c>
      <c r="D13" s="6">
        <v>152</v>
      </c>
      <c r="E13" s="8">
        <f t="shared" si="1"/>
        <v>2356</v>
      </c>
      <c r="F13" s="8"/>
      <c r="G13" s="6"/>
      <c r="H13" s="6"/>
      <c r="I13" s="6"/>
      <c r="J13" s="6">
        <f t="shared" si="0"/>
        <v>2356</v>
      </c>
    </row>
    <row r="14" spans="1:13" x14ac:dyDescent="0.45">
      <c r="A14" s="14">
        <v>13</v>
      </c>
      <c r="B14" s="15" t="s">
        <v>10</v>
      </c>
      <c r="C14" s="12">
        <v>11.75</v>
      </c>
      <c r="D14" s="11">
        <v>129</v>
      </c>
      <c r="E14" s="13">
        <f t="shared" si="1"/>
        <v>1515.75</v>
      </c>
      <c r="F14" s="13"/>
      <c r="G14" s="11"/>
      <c r="H14" s="11"/>
      <c r="I14" s="11"/>
      <c r="J14" s="11">
        <f t="shared" si="0"/>
        <v>1515.75</v>
      </c>
    </row>
    <row r="15" spans="1:13" x14ac:dyDescent="0.45">
      <c r="A15" s="14">
        <v>14</v>
      </c>
      <c r="B15" s="15" t="s">
        <v>11</v>
      </c>
      <c r="C15" s="12">
        <v>12</v>
      </c>
      <c r="D15" s="11">
        <v>74</v>
      </c>
      <c r="E15" s="13">
        <f t="shared" si="1"/>
        <v>888</v>
      </c>
      <c r="F15" s="13">
        <f t="shared" ref="F3:F66" si="2">E15*$H$1</f>
        <v>62.160000000000004</v>
      </c>
      <c r="G15" s="11"/>
      <c r="H15" s="11"/>
      <c r="I15" s="11"/>
      <c r="J15" s="11">
        <f t="shared" si="0"/>
        <v>888</v>
      </c>
    </row>
    <row r="16" spans="1:13" x14ac:dyDescent="0.45">
      <c r="A16" s="16">
        <v>15</v>
      </c>
      <c r="B16" s="17" t="s">
        <v>12</v>
      </c>
      <c r="C16" s="7">
        <v>19</v>
      </c>
      <c r="D16" s="6">
        <v>111</v>
      </c>
      <c r="E16" s="8">
        <f t="shared" si="1"/>
        <v>2109</v>
      </c>
      <c r="F16" s="8">
        <f t="shared" si="2"/>
        <v>147.63000000000002</v>
      </c>
      <c r="G16" s="6"/>
      <c r="H16" s="6"/>
      <c r="I16" s="6"/>
      <c r="J16" s="6">
        <f t="shared" si="0"/>
        <v>2109</v>
      </c>
    </row>
    <row r="17" spans="1:10" x14ac:dyDescent="0.45">
      <c r="A17" s="16">
        <v>16</v>
      </c>
      <c r="B17" s="17" t="s">
        <v>45</v>
      </c>
      <c r="C17" s="7">
        <v>17</v>
      </c>
      <c r="D17" s="6">
        <v>132</v>
      </c>
      <c r="E17" s="8">
        <f t="shared" si="1"/>
        <v>2244</v>
      </c>
      <c r="F17" s="8">
        <f t="shared" si="2"/>
        <v>157.08000000000001</v>
      </c>
      <c r="G17" s="6"/>
      <c r="H17" s="6"/>
      <c r="I17" s="6"/>
      <c r="J17" s="6">
        <f t="shared" si="0"/>
        <v>2244</v>
      </c>
    </row>
    <row r="18" spans="1:10" x14ac:dyDescent="0.45">
      <c r="A18" s="14">
        <v>17</v>
      </c>
      <c r="B18" s="15" t="s">
        <v>13</v>
      </c>
      <c r="C18" s="12">
        <v>19</v>
      </c>
      <c r="D18" s="11">
        <v>168</v>
      </c>
      <c r="E18" s="13">
        <f t="shared" si="1"/>
        <v>3192</v>
      </c>
      <c r="F18" s="13">
        <f t="shared" si="2"/>
        <v>223.44000000000003</v>
      </c>
      <c r="G18" s="11"/>
      <c r="H18" s="11"/>
      <c r="I18" s="11"/>
      <c r="J18" s="11">
        <f t="shared" si="0"/>
        <v>3192</v>
      </c>
    </row>
    <row r="19" spans="1:10" x14ac:dyDescent="0.45">
      <c r="A19" s="14">
        <v>18</v>
      </c>
      <c r="B19" s="15" t="s">
        <v>14</v>
      </c>
      <c r="C19" s="12">
        <v>16</v>
      </c>
      <c r="D19" s="11">
        <v>187</v>
      </c>
      <c r="E19" s="13">
        <f t="shared" si="1"/>
        <v>2992</v>
      </c>
      <c r="F19" s="13">
        <f t="shared" si="2"/>
        <v>209.44000000000003</v>
      </c>
      <c r="G19" s="11"/>
      <c r="H19" s="11"/>
      <c r="I19" s="11"/>
      <c r="J19" s="11">
        <f t="shared" si="0"/>
        <v>2992</v>
      </c>
    </row>
    <row r="20" spans="1:10" x14ac:dyDescent="0.45">
      <c r="A20" s="16">
        <v>19</v>
      </c>
      <c r="B20" s="17" t="s">
        <v>15</v>
      </c>
      <c r="C20" s="7">
        <v>18</v>
      </c>
      <c r="D20" s="6">
        <v>70</v>
      </c>
      <c r="E20" s="8">
        <f t="shared" si="1"/>
        <v>1260</v>
      </c>
      <c r="F20" s="8">
        <f t="shared" si="2"/>
        <v>88.2</v>
      </c>
      <c r="G20" s="6"/>
      <c r="H20" s="6"/>
      <c r="I20" s="6"/>
      <c r="J20" s="6">
        <f t="shared" si="0"/>
        <v>1260</v>
      </c>
    </row>
    <row r="21" spans="1:10" x14ac:dyDescent="0.45">
      <c r="A21" s="16">
        <v>20</v>
      </c>
      <c r="B21" s="17" t="s">
        <v>46</v>
      </c>
      <c r="C21" s="7">
        <v>16.5</v>
      </c>
      <c r="D21" s="6">
        <v>138</v>
      </c>
      <c r="E21" s="8">
        <f t="shared" si="1"/>
        <v>2277</v>
      </c>
      <c r="F21" s="8">
        <f t="shared" si="2"/>
        <v>159.39000000000001</v>
      </c>
      <c r="G21" s="6"/>
      <c r="H21" s="6"/>
      <c r="I21" s="6"/>
      <c r="J21" s="6">
        <f t="shared" si="0"/>
        <v>2277</v>
      </c>
    </row>
    <row r="22" spans="1:10" x14ac:dyDescent="0.45">
      <c r="A22" s="14">
        <v>21</v>
      </c>
      <c r="B22" s="15" t="s">
        <v>16</v>
      </c>
      <c r="C22" s="12">
        <v>13</v>
      </c>
      <c r="D22" s="11">
        <v>72</v>
      </c>
      <c r="E22" s="13">
        <f t="shared" si="1"/>
        <v>936</v>
      </c>
      <c r="F22" s="13">
        <f t="shared" si="2"/>
        <v>65.52000000000001</v>
      </c>
      <c r="G22" s="11"/>
      <c r="H22" s="11"/>
      <c r="I22" s="11"/>
      <c r="J22" s="11">
        <f t="shared" si="0"/>
        <v>936</v>
      </c>
    </row>
    <row r="23" spans="1:10" x14ac:dyDescent="0.45">
      <c r="A23" s="14">
        <v>22</v>
      </c>
      <c r="B23" s="15" t="s">
        <v>19</v>
      </c>
      <c r="C23" s="12">
        <v>12</v>
      </c>
      <c r="D23" s="11">
        <v>130</v>
      </c>
      <c r="E23" s="13">
        <f t="shared" si="1"/>
        <v>1560</v>
      </c>
      <c r="F23" s="13">
        <f t="shared" si="2"/>
        <v>109.20000000000002</v>
      </c>
      <c r="G23" s="11"/>
      <c r="H23" s="11"/>
      <c r="I23" s="11"/>
      <c r="J23" s="11">
        <f t="shared" si="0"/>
        <v>1560</v>
      </c>
    </row>
    <row r="24" spans="1:10" x14ac:dyDescent="0.45">
      <c r="A24" s="16">
        <v>23</v>
      </c>
      <c r="B24" s="17" t="s">
        <v>47</v>
      </c>
      <c r="C24" s="7">
        <v>18</v>
      </c>
      <c r="D24" s="6">
        <v>208</v>
      </c>
      <c r="E24" s="8">
        <f t="shared" si="1"/>
        <v>3744</v>
      </c>
      <c r="F24" s="8">
        <f t="shared" si="2"/>
        <v>262.08000000000004</v>
      </c>
      <c r="G24" s="6"/>
      <c r="H24" s="6"/>
      <c r="I24" s="6"/>
      <c r="J24" s="6">
        <f t="shared" si="0"/>
        <v>3744</v>
      </c>
    </row>
    <row r="25" spans="1:10" x14ac:dyDescent="0.45">
      <c r="A25" s="16">
        <v>24</v>
      </c>
      <c r="B25" s="17" t="s">
        <v>17</v>
      </c>
      <c r="C25" s="7">
        <v>22</v>
      </c>
      <c r="D25" s="6">
        <v>97</v>
      </c>
      <c r="E25" s="8">
        <f t="shared" si="1"/>
        <v>2134</v>
      </c>
      <c r="F25" s="8">
        <f t="shared" si="2"/>
        <v>149.38000000000002</v>
      </c>
      <c r="G25" s="6"/>
      <c r="H25" s="6"/>
      <c r="I25" s="6"/>
      <c r="J25" s="6">
        <f t="shared" si="0"/>
        <v>2134</v>
      </c>
    </row>
    <row r="26" spans="1:10" x14ac:dyDescent="0.45">
      <c r="A26" s="14">
        <v>25</v>
      </c>
      <c r="B26" s="15" t="s">
        <v>18</v>
      </c>
      <c r="C26" s="12">
        <v>32</v>
      </c>
      <c r="D26" s="11">
        <v>199</v>
      </c>
      <c r="E26" s="13">
        <f t="shared" si="1"/>
        <v>6368</v>
      </c>
      <c r="F26" s="13">
        <f t="shared" si="2"/>
        <v>445.76000000000005</v>
      </c>
      <c r="G26" s="11"/>
      <c r="H26" s="11"/>
      <c r="I26" s="11"/>
      <c r="J26" s="11">
        <f t="shared" si="0"/>
        <v>6368</v>
      </c>
    </row>
    <row r="27" spans="1:10" x14ac:dyDescent="0.45">
      <c r="A27" s="14">
        <v>26</v>
      </c>
      <c r="B27" s="15" t="s">
        <v>19</v>
      </c>
      <c r="C27" s="12">
        <v>11</v>
      </c>
      <c r="D27" s="11">
        <v>160</v>
      </c>
      <c r="E27" s="13">
        <f t="shared" si="1"/>
        <v>1760</v>
      </c>
      <c r="F27" s="13">
        <f t="shared" si="2"/>
        <v>123.20000000000002</v>
      </c>
      <c r="G27" s="11"/>
      <c r="H27" s="11"/>
      <c r="I27" s="11"/>
      <c r="J27" s="11">
        <f t="shared" si="0"/>
        <v>1760</v>
      </c>
    </row>
    <row r="28" spans="1:10" x14ac:dyDescent="0.45">
      <c r="A28" s="16">
        <v>27</v>
      </c>
      <c r="B28" s="17" t="s">
        <v>20</v>
      </c>
      <c r="C28" s="7">
        <v>14</v>
      </c>
      <c r="D28" s="6">
        <v>156</v>
      </c>
      <c r="E28" s="8">
        <f t="shared" si="1"/>
        <v>2184</v>
      </c>
      <c r="F28" s="8">
        <f t="shared" si="2"/>
        <v>152.88000000000002</v>
      </c>
      <c r="G28" s="6"/>
      <c r="H28" s="6"/>
      <c r="I28" s="6"/>
      <c r="J28" s="6">
        <f t="shared" si="0"/>
        <v>2184</v>
      </c>
    </row>
    <row r="29" spans="1:10" x14ac:dyDescent="0.45">
      <c r="A29" s="16">
        <v>28</v>
      </c>
      <c r="B29" s="17" t="s">
        <v>48</v>
      </c>
      <c r="C29" s="7">
        <v>15.5</v>
      </c>
      <c r="D29" s="6">
        <v>117</v>
      </c>
      <c r="E29" s="8">
        <f t="shared" si="1"/>
        <v>1813.5</v>
      </c>
      <c r="F29" s="8">
        <f t="shared" si="2"/>
        <v>126.94500000000001</v>
      </c>
      <c r="G29" s="6"/>
      <c r="H29" s="6"/>
      <c r="I29" s="6"/>
      <c r="J29" s="6">
        <f t="shared" si="0"/>
        <v>1813.5</v>
      </c>
    </row>
    <row r="30" spans="1:10" x14ac:dyDescent="0.45">
      <c r="A30" s="14">
        <v>29</v>
      </c>
      <c r="B30" s="15" t="s">
        <v>21</v>
      </c>
      <c r="C30" s="12">
        <v>15</v>
      </c>
      <c r="D30" s="11">
        <v>76</v>
      </c>
      <c r="E30" s="13">
        <f t="shared" si="1"/>
        <v>1140</v>
      </c>
      <c r="F30" s="13">
        <f t="shared" si="2"/>
        <v>79.800000000000011</v>
      </c>
      <c r="G30" s="11"/>
      <c r="H30" s="11"/>
      <c r="I30" s="11"/>
      <c r="J30" s="11">
        <f t="shared" si="0"/>
        <v>1140</v>
      </c>
    </row>
    <row r="31" spans="1:10" x14ac:dyDescent="0.45">
      <c r="A31" s="14">
        <v>30</v>
      </c>
      <c r="B31" s="15" t="s">
        <v>22</v>
      </c>
      <c r="C31" s="12">
        <v>12</v>
      </c>
      <c r="D31" s="11">
        <v>175</v>
      </c>
      <c r="E31" s="13">
        <f t="shared" si="1"/>
        <v>2100</v>
      </c>
      <c r="F31" s="13">
        <f t="shared" si="2"/>
        <v>147</v>
      </c>
      <c r="G31" s="11"/>
      <c r="H31" s="11"/>
      <c r="I31" s="11"/>
      <c r="J31" s="11">
        <f t="shared" si="0"/>
        <v>2100</v>
      </c>
    </row>
    <row r="32" spans="1:10" x14ac:dyDescent="0.45">
      <c r="A32" s="16">
        <v>31</v>
      </c>
      <c r="B32" s="17" t="s">
        <v>23</v>
      </c>
      <c r="C32" s="7">
        <v>15.5</v>
      </c>
      <c r="D32" s="6">
        <v>87</v>
      </c>
      <c r="E32" s="8">
        <f t="shared" si="1"/>
        <v>1348.5</v>
      </c>
      <c r="F32" s="8">
        <f t="shared" si="2"/>
        <v>94.39500000000001</v>
      </c>
      <c r="G32" s="6"/>
      <c r="H32" s="6"/>
      <c r="I32" s="6"/>
      <c r="J32" s="6">
        <f t="shared" si="0"/>
        <v>1348.5</v>
      </c>
    </row>
    <row r="33" spans="1:10" x14ac:dyDescent="0.45">
      <c r="A33" s="16">
        <v>32</v>
      </c>
      <c r="B33" s="17" t="s">
        <v>49</v>
      </c>
      <c r="C33" s="7">
        <v>11.75</v>
      </c>
      <c r="D33" s="6">
        <v>130</v>
      </c>
      <c r="E33" s="8">
        <f t="shared" si="1"/>
        <v>1527.5</v>
      </c>
      <c r="F33" s="8">
        <f t="shared" si="2"/>
        <v>106.92500000000001</v>
      </c>
      <c r="G33" s="6"/>
      <c r="H33" s="6"/>
      <c r="I33" s="6"/>
      <c r="J33" s="6">
        <f t="shared" si="0"/>
        <v>1527.5</v>
      </c>
    </row>
    <row r="34" spans="1:10" x14ac:dyDescent="0.45">
      <c r="A34" s="14">
        <v>33</v>
      </c>
      <c r="B34" s="15" t="s">
        <v>50</v>
      </c>
      <c r="C34" s="12">
        <v>12</v>
      </c>
      <c r="D34" s="11">
        <v>185</v>
      </c>
      <c r="E34" s="13">
        <f t="shared" si="1"/>
        <v>2220</v>
      </c>
      <c r="F34" s="13">
        <f t="shared" si="2"/>
        <v>155.4</v>
      </c>
      <c r="G34" s="11"/>
      <c r="H34" s="11"/>
      <c r="I34" s="11"/>
      <c r="J34" s="11">
        <f t="shared" si="0"/>
        <v>2220</v>
      </c>
    </row>
    <row r="35" spans="1:10" x14ac:dyDescent="0.45">
      <c r="A35" s="14">
        <v>34</v>
      </c>
      <c r="B35" s="15" t="s">
        <v>24</v>
      </c>
      <c r="C35" s="12">
        <v>19</v>
      </c>
      <c r="D35" s="11">
        <v>152</v>
      </c>
      <c r="E35" s="13">
        <f t="shared" si="1"/>
        <v>2888</v>
      </c>
      <c r="F35" s="13">
        <f t="shared" si="2"/>
        <v>202.16000000000003</v>
      </c>
      <c r="G35" s="11"/>
      <c r="H35" s="11"/>
      <c r="I35" s="11"/>
      <c r="J35" s="11">
        <f t="shared" si="0"/>
        <v>2888</v>
      </c>
    </row>
    <row r="36" spans="1:10" x14ac:dyDescent="0.45">
      <c r="A36" s="16">
        <v>35</v>
      </c>
      <c r="B36" s="17" t="s">
        <v>51</v>
      </c>
      <c r="C36" s="7">
        <v>17</v>
      </c>
      <c r="D36" s="6">
        <v>186</v>
      </c>
      <c r="E36" s="8">
        <f t="shared" si="1"/>
        <v>3162</v>
      </c>
      <c r="F36" s="8">
        <f t="shared" si="2"/>
        <v>221.34000000000003</v>
      </c>
      <c r="G36" s="6"/>
      <c r="H36" s="6"/>
      <c r="I36" s="6"/>
      <c r="J36" s="6">
        <f t="shared" si="0"/>
        <v>3162</v>
      </c>
    </row>
    <row r="37" spans="1:10" x14ac:dyDescent="0.45">
      <c r="A37" s="16">
        <v>36</v>
      </c>
      <c r="B37" s="17" t="s">
        <v>52</v>
      </c>
      <c r="C37" s="7">
        <v>19</v>
      </c>
      <c r="D37" s="6">
        <v>96</v>
      </c>
      <c r="E37" s="8">
        <f t="shared" si="1"/>
        <v>1824</v>
      </c>
      <c r="F37" s="8">
        <f t="shared" si="2"/>
        <v>127.68</v>
      </c>
      <c r="G37" s="6"/>
      <c r="H37" s="6"/>
      <c r="I37" s="6"/>
      <c r="J37" s="6">
        <f t="shared" si="0"/>
        <v>1824</v>
      </c>
    </row>
    <row r="38" spans="1:10" x14ac:dyDescent="0.45">
      <c r="A38" s="14">
        <v>37</v>
      </c>
      <c r="B38" s="15" t="s">
        <v>53</v>
      </c>
      <c r="C38" s="12">
        <v>16</v>
      </c>
      <c r="D38" s="11">
        <v>100</v>
      </c>
      <c r="E38" s="13">
        <f t="shared" si="1"/>
        <v>1600</v>
      </c>
      <c r="F38" s="13">
        <f t="shared" si="2"/>
        <v>112.00000000000001</v>
      </c>
      <c r="G38" s="11"/>
      <c r="H38" s="11"/>
      <c r="I38" s="11"/>
      <c r="J38" s="11">
        <f t="shared" si="0"/>
        <v>1600</v>
      </c>
    </row>
    <row r="39" spans="1:10" x14ac:dyDescent="0.45">
      <c r="A39" s="14">
        <v>38</v>
      </c>
      <c r="B39" s="15" t="s">
        <v>25</v>
      </c>
      <c r="C39" s="12">
        <v>18</v>
      </c>
      <c r="D39" s="11">
        <v>124</v>
      </c>
      <c r="E39" s="13">
        <f t="shared" si="1"/>
        <v>2232</v>
      </c>
      <c r="F39" s="13">
        <f t="shared" si="2"/>
        <v>156.24</v>
      </c>
      <c r="G39" s="11"/>
      <c r="H39" s="11"/>
      <c r="I39" s="11"/>
      <c r="J39" s="11">
        <f t="shared" si="0"/>
        <v>2232</v>
      </c>
    </row>
    <row r="40" spans="1:10" x14ac:dyDescent="0.45">
      <c r="A40" s="16">
        <v>39</v>
      </c>
      <c r="B40" s="17" t="s">
        <v>54</v>
      </c>
      <c r="C40" s="7">
        <v>15.5</v>
      </c>
      <c r="D40" s="6">
        <v>71</v>
      </c>
      <c r="E40" s="8">
        <f t="shared" si="1"/>
        <v>1100.5</v>
      </c>
      <c r="F40" s="8">
        <f t="shared" si="2"/>
        <v>77.035000000000011</v>
      </c>
      <c r="G40" s="6"/>
      <c r="H40" s="6"/>
      <c r="I40" s="6"/>
      <c r="J40" s="6">
        <f t="shared" si="0"/>
        <v>1100.5</v>
      </c>
    </row>
    <row r="41" spans="1:10" x14ac:dyDescent="0.45">
      <c r="A41" s="16">
        <v>40</v>
      </c>
      <c r="B41" s="17" t="s">
        <v>26</v>
      </c>
      <c r="C41" s="7">
        <v>14</v>
      </c>
      <c r="D41" s="6">
        <v>83</v>
      </c>
      <c r="E41" s="8">
        <f t="shared" si="1"/>
        <v>1162</v>
      </c>
      <c r="F41" s="8">
        <f t="shared" si="2"/>
        <v>81.34</v>
      </c>
      <c r="G41" s="6"/>
      <c r="H41" s="6"/>
      <c r="I41" s="6"/>
      <c r="J41" s="6">
        <f t="shared" si="0"/>
        <v>1162</v>
      </c>
    </row>
    <row r="42" spans="1:10" x14ac:dyDescent="0.45">
      <c r="A42" s="14">
        <v>41</v>
      </c>
      <c r="B42" s="15" t="s">
        <v>55</v>
      </c>
      <c r="C42" s="12">
        <v>12</v>
      </c>
      <c r="D42" s="11">
        <v>168</v>
      </c>
      <c r="E42" s="13">
        <f t="shared" si="1"/>
        <v>2016</v>
      </c>
      <c r="F42" s="13">
        <f t="shared" si="2"/>
        <v>141.12</v>
      </c>
      <c r="G42" s="11"/>
      <c r="H42" s="11"/>
      <c r="I42" s="11"/>
      <c r="J42" s="11">
        <f t="shared" si="0"/>
        <v>2016</v>
      </c>
    </row>
    <row r="43" spans="1:10" x14ac:dyDescent="0.45">
      <c r="A43" s="14">
        <v>42</v>
      </c>
      <c r="B43" s="15" t="s">
        <v>56</v>
      </c>
      <c r="C43" s="12">
        <v>11</v>
      </c>
      <c r="D43" s="11">
        <v>165</v>
      </c>
      <c r="E43" s="13">
        <f t="shared" si="1"/>
        <v>1815</v>
      </c>
      <c r="F43" s="13">
        <f t="shared" si="2"/>
        <v>127.05000000000001</v>
      </c>
      <c r="G43" s="11"/>
      <c r="H43" s="11"/>
      <c r="I43" s="11"/>
      <c r="J43" s="11">
        <f t="shared" si="0"/>
        <v>1815</v>
      </c>
    </row>
    <row r="44" spans="1:10" x14ac:dyDescent="0.45">
      <c r="A44" s="16">
        <v>43</v>
      </c>
      <c r="B44" s="17" t="s">
        <v>27</v>
      </c>
      <c r="C44" s="7">
        <v>12</v>
      </c>
      <c r="D44" s="6">
        <v>145</v>
      </c>
      <c r="E44" s="8">
        <f t="shared" si="1"/>
        <v>1740</v>
      </c>
      <c r="F44" s="8">
        <f t="shared" si="2"/>
        <v>121.80000000000001</v>
      </c>
      <c r="G44" s="6"/>
      <c r="H44" s="6"/>
      <c r="I44" s="6"/>
      <c r="J44" s="6">
        <f t="shared" si="0"/>
        <v>1740</v>
      </c>
    </row>
    <row r="45" spans="1:10" x14ac:dyDescent="0.45">
      <c r="A45" s="16">
        <v>44</v>
      </c>
      <c r="B45" s="17" t="s">
        <v>28</v>
      </c>
      <c r="C45" s="7">
        <v>15.5</v>
      </c>
      <c r="D45" s="6">
        <v>133</v>
      </c>
      <c r="E45" s="8">
        <f t="shared" si="1"/>
        <v>2061.5</v>
      </c>
      <c r="F45" s="8">
        <f t="shared" si="2"/>
        <v>144.30500000000001</v>
      </c>
      <c r="G45" s="6"/>
      <c r="H45" s="6"/>
      <c r="I45" s="6"/>
      <c r="J45" s="6">
        <f t="shared" si="0"/>
        <v>2061.5</v>
      </c>
    </row>
    <row r="46" spans="1:10" x14ac:dyDescent="0.45">
      <c r="A46" s="14">
        <v>45</v>
      </c>
      <c r="B46" s="15" t="s">
        <v>29</v>
      </c>
      <c r="C46" s="12">
        <v>11.75</v>
      </c>
      <c r="D46" s="11">
        <v>92</v>
      </c>
      <c r="E46" s="13">
        <f t="shared" si="1"/>
        <v>1081</v>
      </c>
      <c r="F46" s="13">
        <f t="shared" si="2"/>
        <v>75.67</v>
      </c>
      <c r="G46" s="11"/>
      <c r="H46" s="11"/>
      <c r="I46" s="11"/>
      <c r="J46" s="11">
        <f t="shared" si="0"/>
        <v>1081</v>
      </c>
    </row>
    <row r="47" spans="1:10" x14ac:dyDescent="0.45">
      <c r="A47" s="14">
        <v>46</v>
      </c>
      <c r="B47" s="15" t="s">
        <v>57</v>
      </c>
      <c r="C47" s="12">
        <v>12</v>
      </c>
      <c r="D47" s="11">
        <v>74</v>
      </c>
      <c r="E47" s="13">
        <f t="shared" si="1"/>
        <v>888</v>
      </c>
      <c r="F47" s="13">
        <f t="shared" si="2"/>
        <v>62.160000000000004</v>
      </c>
      <c r="G47" s="11"/>
      <c r="H47" s="11"/>
      <c r="I47" s="11"/>
      <c r="J47" s="11">
        <f t="shared" si="0"/>
        <v>888</v>
      </c>
    </row>
    <row r="48" spans="1:10" x14ac:dyDescent="0.45">
      <c r="A48" s="16">
        <v>47</v>
      </c>
      <c r="B48" s="17" t="s">
        <v>30</v>
      </c>
      <c r="C48" s="7">
        <v>19</v>
      </c>
      <c r="D48" s="6">
        <v>201</v>
      </c>
      <c r="E48" s="8">
        <f t="shared" si="1"/>
        <v>3819</v>
      </c>
      <c r="F48" s="8">
        <f t="shared" si="2"/>
        <v>267.33000000000004</v>
      </c>
      <c r="G48" s="6"/>
      <c r="H48" s="6"/>
      <c r="I48" s="6"/>
      <c r="J48" s="6">
        <f t="shared" si="0"/>
        <v>3819</v>
      </c>
    </row>
    <row r="49" spans="1:10" x14ac:dyDescent="0.45">
      <c r="A49" s="16">
        <v>48</v>
      </c>
      <c r="B49" s="17" t="s">
        <v>58</v>
      </c>
      <c r="C49" s="7">
        <v>17</v>
      </c>
      <c r="D49" s="6">
        <v>112</v>
      </c>
      <c r="E49" s="8">
        <f t="shared" si="1"/>
        <v>1904</v>
      </c>
      <c r="F49" s="8">
        <f t="shared" si="2"/>
        <v>133.28</v>
      </c>
      <c r="G49" s="6"/>
      <c r="H49" s="6"/>
      <c r="I49" s="6"/>
      <c r="J49" s="6">
        <f t="shared" si="0"/>
        <v>1904</v>
      </c>
    </row>
    <row r="50" spans="1:10" x14ac:dyDescent="0.45">
      <c r="A50" s="14">
        <v>49</v>
      </c>
      <c r="B50" s="15" t="s">
        <v>31</v>
      </c>
      <c r="C50" s="12">
        <v>19</v>
      </c>
      <c r="D50" s="11">
        <v>166</v>
      </c>
      <c r="E50" s="13">
        <f t="shared" si="1"/>
        <v>3154</v>
      </c>
      <c r="F50" s="13">
        <f t="shared" si="2"/>
        <v>220.78000000000003</v>
      </c>
      <c r="G50" s="11"/>
      <c r="H50" s="11"/>
      <c r="I50" s="11"/>
      <c r="J50" s="11">
        <f t="shared" si="0"/>
        <v>3154</v>
      </c>
    </row>
    <row r="51" spans="1:10" x14ac:dyDescent="0.45">
      <c r="A51" s="14">
        <v>50</v>
      </c>
      <c r="B51" s="15" t="s">
        <v>59</v>
      </c>
      <c r="C51" s="12">
        <v>16</v>
      </c>
      <c r="D51" s="11">
        <v>160</v>
      </c>
      <c r="E51" s="13">
        <f t="shared" si="1"/>
        <v>2560</v>
      </c>
      <c r="F51" s="13">
        <f t="shared" si="2"/>
        <v>179.20000000000002</v>
      </c>
      <c r="G51" s="11"/>
      <c r="H51" s="11"/>
      <c r="I51" s="11"/>
      <c r="J51" s="11">
        <f t="shared" si="0"/>
        <v>2560</v>
      </c>
    </row>
    <row r="52" spans="1:10" x14ac:dyDescent="0.45">
      <c r="A52" s="16">
        <v>51</v>
      </c>
      <c r="B52" s="17" t="s">
        <v>32</v>
      </c>
      <c r="C52" s="7">
        <v>18</v>
      </c>
      <c r="D52" s="6">
        <v>117</v>
      </c>
      <c r="E52" s="8">
        <f t="shared" si="1"/>
        <v>2106</v>
      </c>
      <c r="F52" s="8">
        <f t="shared" si="2"/>
        <v>147.42000000000002</v>
      </c>
      <c r="G52" s="6"/>
      <c r="H52" s="6"/>
      <c r="I52" s="6"/>
      <c r="J52" s="6">
        <f t="shared" si="0"/>
        <v>2106</v>
      </c>
    </row>
    <row r="53" spans="1:10" x14ac:dyDescent="0.45">
      <c r="A53" s="16">
        <v>52</v>
      </c>
      <c r="B53" s="17" t="s">
        <v>33</v>
      </c>
      <c r="C53" s="7">
        <v>11.5</v>
      </c>
      <c r="D53" s="6">
        <v>152</v>
      </c>
      <c r="E53" s="8">
        <f t="shared" si="1"/>
        <v>1748</v>
      </c>
      <c r="F53" s="8">
        <f t="shared" si="2"/>
        <v>122.36000000000001</v>
      </c>
      <c r="G53" s="6"/>
      <c r="H53" s="6"/>
      <c r="I53" s="6"/>
      <c r="J53" s="9">
        <f t="shared" si="0"/>
        <v>1748</v>
      </c>
    </row>
    <row r="54" spans="1:10" x14ac:dyDescent="0.45">
      <c r="A54" s="14">
        <v>53</v>
      </c>
      <c r="B54" s="15" t="s">
        <v>34</v>
      </c>
      <c r="C54" s="12">
        <v>15.5</v>
      </c>
      <c r="D54" s="11">
        <v>129</v>
      </c>
      <c r="E54" s="13">
        <f t="shared" si="1"/>
        <v>1999.5</v>
      </c>
      <c r="F54" s="13">
        <f t="shared" si="2"/>
        <v>139.965</v>
      </c>
      <c r="G54" s="11"/>
      <c r="H54" s="11"/>
      <c r="I54" s="11"/>
      <c r="J54" s="11">
        <f t="shared" si="0"/>
        <v>1999.5</v>
      </c>
    </row>
    <row r="55" spans="1:10" x14ac:dyDescent="0.45">
      <c r="A55" s="14">
        <v>54</v>
      </c>
      <c r="B55" s="15" t="s">
        <v>35</v>
      </c>
      <c r="C55" s="12">
        <v>15.5</v>
      </c>
      <c r="D55" s="11">
        <v>74</v>
      </c>
      <c r="E55" s="13">
        <f t="shared" si="1"/>
        <v>1147</v>
      </c>
      <c r="F55" s="13">
        <f t="shared" si="2"/>
        <v>80.290000000000006</v>
      </c>
      <c r="G55" s="11"/>
      <c r="H55" s="11"/>
      <c r="I55" s="11"/>
      <c r="J55" s="11">
        <f t="shared" si="0"/>
        <v>1147</v>
      </c>
    </row>
    <row r="56" spans="1:10" x14ac:dyDescent="0.45">
      <c r="A56" s="16">
        <v>55</v>
      </c>
      <c r="B56" s="17" t="s">
        <v>60</v>
      </c>
      <c r="C56" s="7">
        <v>12</v>
      </c>
      <c r="D56" s="6">
        <v>111</v>
      </c>
      <c r="E56" s="8">
        <f t="shared" si="1"/>
        <v>1332</v>
      </c>
      <c r="F56" s="8">
        <f t="shared" si="2"/>
        <v>93.240000000000009</v>
      </c>
      <c r="G56" s="6"/>
      <c r="H56" s="6"/>
      <c r="I56" s="6"/>
      <c r="J56" s="6">
        <f t="shared" si="0"/>
        <v>1332</v>
      </c>
    </row>
    <row r="57" spans="1:10" x14ac:dyDescent="0.45">
      <c r="A57" s="16">
        <v>56</v>
      </c>
      <c r="B57" s="17" t="s">
        <v>61</v>
      </c>
      <c r="C57" s="7">
        <v>15.5</v>
      </c>
      <c r="D57" s="6">
        <v>132</v>
      </c>
      <c r="E57" s="8">
        <f t="shared" si="1"/>
        <v>2046</v>
      </c>
      <c r="F57" s="8">
        <f t="shared" si="2"/>
        <v>143.22000000000003</v>
      </c>
      <c r="G57" s="6"/>
      <c r="H57" s="6"/>
      <c r="I57" s="6"/>
      <c r="J57" s="6">
        <f t="shared" si="0"/>
        <v>2046</v>
      </c>
    </row>
    <row r="58" spans="1:10" x14ac:dyDescent="0.45">
      <c r="A58" s="14">
        <v>57</v>
      </c>
      <c r="B58" s="15" t="s">
        <v>36</v>
      </c>
      <c r="C58" s="12">
        <v>11.75</v>
      </c>
      <c r="D58" s="11">
        <v>168</v>
      </c>
      <c r="E58" s="13">
        <f t="shared" si="1"/>
        <v>1974</v>
      </c>
      <c r="F58" s="13">
        <f t="shared" si="2"/>
        <v>138.18</v>
      </c>
      <c r="G58" s="11"/>
      <c r="H58" s="11"/>
      <c r="I58" s="11"/>
      <c r="J58" s="11">
        <f t="shared" si="0"/>
        <v>1974</v>
      </c>
    </row>
    <row r="59" spans="1:10" x14ac:dyDescent="0.45">
      <c r="A59" s="14">
        <v>58</v>
      </c>
      <c r="B59" s="15" t="s">
        <v>62</v>
      </c>
      <c r="C59" s="12">
        <v>12</v>
      </c>
      <c r="D59" s="11">
        <v>187</v>
      </c>
      <c r="E59" s="13">
        <f t="shared" si="1"/>
        <v>2244</v>
      </c>
      <c r="F59" s="13">
        <f t="shared" si="2"/>
        <v>157.08000000000001</v>
      </c>
      <c r="G59" s="11"/>
      <c r="H59" s="11"/>
      <c r="I59" s="11"/>
      <c r="J59" s="11">
        <f t="shared" si="0"/>
        <v>2244</v>
      </c>
    </row>
    <row r="60" spans="1:10" x14ac:dyDescent="0.45">
      <c r="A60" s="16">
        <v>59</v>
      </c>
      <c r="B60" s="17" t="s">
        <v>37</v>
      </c>
      <c r="C60" s="7">
        <v>19</v>
      </c>
      <c r="D60" s="6">
        <v>70</v>
      </c>
      <c r="E60" s="8">
        <f t="shared" si="1"/>
        <v>1330</v>
      </c>
      <c r="F60" s="8">
        <f t="shared" si="2"/>
        <v>93.100000000000009</v>
      </c>
      <c r="G60" s="6"/>
      <c r="H60" s="6"/>
      <c r="I60" s="6"/>
      <c r="J60" s="10">
        <f t="shared" si="0"/>
        <v>1330</v>
      </c>
    </row>
    <row r="61" spans="1:10" x14ac:dyDescent="0.45">
      <c r="A61" s="16">
        <v>60</v>
      </c>
      <c r="B61" s="17" t="s">
        <v>63</v>
      </c>
      <c r="C61" s="7">
        <v>17</v>
      </c>
      <c r="D61" s="6">
        <v>138</v>
      </c>
      <c r="E61" s="8">
        <f t="shared" si="1"/>
        <v>2346</v>
      </c>
      <c r="F61" s="8">
        <f t="shared" si="2"/>
        <v>164.22000000000003</v>
      </c>
      <c r="G61" s="6"/>
      <c r="H61" s="6"/>
      <c r="I61" s="6"/>
      <c r="J61" s="6">
        <f t="shared" si="0"/>
        <v>2346</v>
      </c>
    </row>
    <row r="62" spans="1:10" x14ac:dyDescent="0.45">
      <c r="A62" s="14">
        <v>61</v>
      </c>
      <c r="B62" s="15" t="s">
        <v>38</v>
      </c>
      <c r="C62" s="12">
        <v>19</v>
      </c>
      <c r="D62" s="11">
        <v>72</v>
      </c>
      <c r="E62" s="13">
        <f t="shared" si="1"/>
        <v>1368</v>
      </c>
      <c r="F62" s="13">
        <f t="shared" si="2"/>
        <v>95.76</v>
      </c>
      <c r="G62" s="11"/>
      <c r="H62" s="11"/>
      <c r="I62" s="11"/>
      <c r="J62" s="11">
        <f t="shared" si="0"/>
        <v>1368</v>
      </c>
    </row>
    <row r="63" spans="1:10" x14ac:dyDescent="0.45">
      <c r="A63" s="14">
        <v>62</v>
      </c>
      <c r="B63" s="15" t="s">
        <v>39</v>
      </c>
      <c r="C63" s="12">
        <v>16</v>
      </c>
      <c r="D63" s="11">
        <v>130</v>
      </c>
      <c r="E63" s="13">
        <f t="shared" si="1"/>
        <v>2080</v>
      </c>
      <c r="F63" s="13">
        <f t="shared" si="2"/>
        <v>145.60000000000002</v>
      </c>
      <c r="G63" s="11"/>
      <c r="H63" s="11"/>
      <c r="I63" s="11"/>
      <c r="J63" s="11">
        <f t="shared" si="0"/>
        <v>2080</v>
      </c>
    </row>
    <row r="64" spans="1:10" x14ac:dyDescent="0.45">
      <c r="A64" s="16">
        <v>63</v>
      </c>
      <c r="B64" s="17" t="s">
        <v>64</v>
      </c>
      <c r="C64" s="7">
        <v>18</v>
      </c>
      <c r="D64" s="6">
        <v>208</v>
      </c>
      <c r="E64" s="8">
        <f t="shared" si="1"/>
        <v>3744</v>
      </c>
      <c r="F64" s="8">
        <f t="shared" si="2"/>
        <v>262.08000000000004</v>
      </c>
      <c r="G64" s="6"/>
      <c r="H64" s="6"/>
      <c r="I64" s="6"/>
      <c r="J64" s="6">
        <f t="shared" si="0"/>
        <v>3744</v>
      </c>
    </row>
    <row r="65" spans="1:13" x14ac:dyDescent="0.45">
      <c r="A65" s="16">
        <v>64</v>
      </c>
      <c r="B65" s="17" t="s">
        <v>65</v>
      </c>
      <c r="C65" s="7">
        <v>11</v>
      </c>
      <c r="D65" s="6">
        <v>97</v>
      </c>
      <c r="E65" s="8">
        <f t="shared" si="1"/>
        <v>1067</v>
      </c>
      <c r="F65" s="8">
        <f t="shared" si="2"/>
        <v>74.690000000000012</v>
      </c>
      <c r="G65" s="6"/>
      <c r="H65" s="6"/>
      <c r="I65" s="6"/>
      <c r="J65" s="6">
        <f t="shared" si="0"/>
        <v>1067</v>
      </c>
    </row>
    <row r="66" spans="1:13" x14ac:dyDescent="0.45">
      <c r="A66" s="14">
        <v>65</v>
      </c>
      <c r="B66" s="15" t="s">
        <v>40</v>
      </c>
      <c r="C66" s="12">
        <v>15.5</v>
      </c>
      <c r="D66" s="11">
        <v>199</v>
      </c>
      <c r="E66" s="13">
        <f t="shared" si="1"/>
        <v>3084.5</v>
      </c>
      <c r="F66" s="13">
        <f t="shared" si="2"/>
        <v>215.91500000000002</v>
      </c>
      <c r="G66" s="11"/>
      <c r="H66" s="11"/>
      <c r="I66" s="11"/>
      <c r="J66" s="11">
        <f t="shared" si="0"/>
        <v>3084.5</v>
      </c>
    </row>
    <row r="67" spans="1:13" x14ac:dyDescent="0.45">
      <c r="A67" s="14">
        <v>66</v>
      </c>
      <c r="B67" s="15" t="s">
        <v>41</v>
      </c>
      <c r="C67" s="12">
        <v>11</v>
      </c>
      <c r="D67" s="11">
        <v>160</v>
      </c>
      <c r="E67" s="13">
        <f t="shared" si="1"/>
        <v>1760</v>
      </c>
      <c r="F67" s="13">
        <f t="shared" ref="F67:F71" si="3">E67*$H$1</f>
        <v>123.20000000000002</v>
      </c>
      <c r="G67" s="11"/>
      <c r="H67" s="11"/>
      <c r="I67" s="11"/>
      <c r="J67" s="11">
        <f t="shared" ref="J67:J71" si="4">C67*D67</f>
        <v>1760</v>
      </c>
    </row>
    <row r="68" spans="1:13" x14ac:dyDescent="0.45">
      <c r="A68" s="16">
        <v>67</v>
      </c>
      <c r="B68" s="17" t="s">
        <v>66</v>
      </c>
      <c r="C68" s="7">
        <v>12</v>
      </c>
      <c r="D68" s="6">
        <v>156</v>
      </c>
      <c r="E68" s="8">
        <f t="shared" ref="E68:E71" si="5">C68*D68</f>
        <v>1872</v>
      </c>
      <c r="F68" s="8">
        <f t="shared" si="3"/>
        <v>131.04000000000002</v>
      </c>
      <c r="G68" s="6"/>
      <c r="H68" s="6"/>
      <c r="I68" s="6"/>
      <c r="J68" s="6">
        <f t="shared" si="4"/>
        <v>1872</v>
      </c>
    </row>
    <row r="69" spans="1:13" x14ac:dyDescent="0.45">
      <c r="A69" s="16">
        <v>68</v>
      </c>
      <c r="B69" s="17" t="s">
        <v>42</v>
      </c>
      <c r="C69" s="7">
        <v>15.5</v>
      </c>
      <c r="D69" s="6">
        <v>117</v>
      </c>
      <c r="E69" s="8">
        <f t="shared" si="5"/>
        <v>1813.5</v>
      </c>
      <c r="F69" s="8">
        <f t="shared" si="3"/>
        <v>126.94500000000001</v>
      </c>
      <c r="G69" s="6"/>
      <c r="H69" s="6"/>
      <c r="I69" s="6"/>
      <c r="J69" s="6">
        <f t="shared" si="4"/>
        <v>1813.5</v>
      </c>
    </row>
    <row r="70" spans="1:13" x14ac:dyDescent="0.45">
      <c r="A70" s="14">
        <v>69</v>
      </c>
      <c r="B70" s="15" t="s">
        <v>67</v>
      </c>
      <c r="C70" s="12">
        <v>11</v>
      </c>
      <c r="D70" s="11">
        <v>76</v>
      </c>
      <c r="E70" s="13">
        <f t="shared" si="5"/>
        <v>836</v>
      </c>
      <c r="F70" s="13">
        <f t="shared" si="3"/>
        <v>58.52</v>
      </c>
      <c r="G70" s="11"/>
      <c r="H70" s="11"/>
      <c r="I70" s="11"/>
      <c r="J70" s="11">
        <f t="shared" si="4"/>
        <v>836</v>
      </c>
      <c r="M70" t="s">
        <v>82</v>
      </c>
    </row>
    <row r="71" spans="1:13" x14ac:dyDescent="0.45">
      <c r="A71" s="14">
        <v>70</v>
      </c>
      <c r="B71" s="15" t="s">
        <v>68</v>
      </c>
      <c r="C71" s="12">
        <v>12</v>
      </c>
      <c r="D71" s="11">
        <v>175</v>
      </c>
      <c r="E71" s="13">
        <f t="shared" si="5"/>
        <v>2100</v>
      </c>
      <c r="F71" s="13">
        <f t="shared" si="3"/>
        <v>147</v>
      </c>
      <c r="G71" s="11"/>
      <c r="H71" s="11"/>
      <c r="I71" s="11"/>
      <c r="J71" s="11">
        <f t="shared" si="4"/>
        <v>2100</v>
      </c>
    </row>
    <row r="72" spans="1:13" x14ac:dyDescent="0.45">
      <c r="A72" s="21"/>
      <c r="B72" s="22"/>
      <c r="C72" s="19" t="s">
        <v>76</v>
      </c>
      <c r="D72" s="18">
        <f>SUM(D2:D71)</f>
        <v>9367</v>
      </c>
      <c r="E72" s="20">
        <f>SUM(E2:E71)</f>
        <v>142919.5</v>
      </c>
      <c r="F72" s="20">
        <f>SUM(TaxesOwed)</f>
        <v>8176.1400000000012</v>
      </c>
      <c r="G72" s="18"/>
      <c r="H72" s="18"/>
      <c r="I72" s="18"/>
      <c r="J72" s="20">
        <f>COUNT(J1:J71)</f>
        <v>70</v>
      </c>
    </row>
    <row r="73" spans="1:13" x14ac:dyDescent="0.45">
      <c r="A73" s="21"/>
      <c r="B73" s="22"/>
      <c r="C73" s="19" t="s">
        <v>77</v>
      </c>
      <c r="D73" s="18">
        <f>AVERAGE(D2:D71)</f>
        <v>133.81428571428572</v>
      </c>
      <c r="E73" s="20">
        <f>AVERAGE(E2:E71)</f>
        <v>2041.7071428571428</v>
      </c>
      <c r="F73" s="20">
        <f>AVERAGE(TaxesOwed)</f>
        <v>143.44105263157897</v>
      </c>
      <c r="G73" s="18"/>
      <c r="H73" s="18"/>
      <c r="I73" s="18"/>
      <c r="J73" s="18"/>
    </row>
    <row r="74" spans="1:13" x14ac:dyDescent="0.45">
      <c r="A74" s="21"/>
      <c r="B74" s="22"/>
      <c r="C74" s="19" t="s">
        <v>78</v>
      </c>
      <c r="D74" s="18">
        <f>MAX(D2:D71)</f>
        <v>208</v>
      </c>
      <c r="E74" s="20">
        <f t="shared" ref="E74:F74" si="6">MAX(E2:E71)</f>
        <v>6368</v>
      </c>
      <c r="F74" s="20">
        <f t="shared" si="6"/>
        <v>445.76000000000005</v>
      </c>
      <c r="G74" s="18"/>
      <c r="H74" s="18"/>
      <c r="I74" s="18"/>
      <c r="J74" s="18"/>
    </row>
    <row r="75" spans="1:13" x14ac:dyDescent="0.45">
      <c r="A75" s="21"/>
      <c r="B75" s="22"/>
      <c r="C75" s="19" t="s">
        <v>79</v>
      </c>
      <c r="D75" s="18">
        <f>MIN(D2:D71)</f>
        <v>69</v>
      </c>
      <c r="E75" s="20">
        <f t="shared" ref="E75:F75" si="7">MIN(E2:E71)</f>
        <v>836</v>
      </c>
      <c r="F75" s="20">
        <f t="shared" si="7"/>
        <v>58.52</v>
      </c>
      <c r="G75" s="18"/>
      <c r="H75" s="18"/>
      <c r="I75" s="18"/>
      <c r="J75" s="18"/>
    </row>
    <row r="76" spans="1:13" ht="17.5" thickBot="1" x14ac:dyDescent="0.5">
      <c r="A76" s="23"/>
      <c r="B76" s="24"/>
      <c r="C76" s="25" t="s">
        <v>80</v>
      </c>
      <c r="D76" s="26">
        <f>COUNT(D2:D71)</f>
        <v>70</v>
      </c>
      <c r="E76" s="27">
        <f t="shared" ref="E76:F76" si="8">COUNT(E2:E71)</f>
        <v>70</v>
      </c>
      <c r="F76" s="27">
        <f t="shared" si="8"/>
        <v>57</v>
      </c>
      <c r="G76" s="26"/>
      <c r="H76" s="26"/>
      <c r="I76" s="26"/>
      <c r="J76" s="26"/>
    </row>
    <row r="77" spans="1:13" ht="17.5" thickTop="1" x14ac:dyDescent="0.45"/>
    <row r="85" spans="6:6" x14ac:dyDescent="0.45">
      <c r="F85" s="2">
        <f>E2*$H$1</f>
        <v>157.60500000000002</v>
      </c>
    </row>
    <row r="86" spans="6:6" x14ac:dyDescent="0.45">
      <c r="F86" s="2">
        <f>E3*$H$1</f>
        <v>173.60000000000002</v>
      </c>
    </row>
    <row r="87" spans="6:6" x14ac:dyDescent="0.45">
      <c r="F87" s="2">
        <f>E4*$H$1</f>
        <v>148.75</v>
      </c>
    </row>
    <row r="88" spans="6:6" x14ac:dyDescent="0.45">
      <c r="F88" s="2">
        <f>E5*$H$1</f>
        <v>158.81250000000003</v>
      </c>
    </row>
    <row r="89" spans="6:6" x14ac:dyDescent="0.45">
      <c r="F89" s="2">
        <f>E6*$H$1</f>
        <v>156.24</v>
      </c>
    </row>
    <row r="90" spans="6:6" x14ac:dyDescent="0.45">
      <c r="F90" s="2">
        <f>E7*$H$1</f>
        <v>207.06000000000003</v>
      </c>
    </row>
    <row r="91" spans="6:6" x14ac:dyDescent="0.45">
      <c r="F91" s="2">
        <f>E8*$H$1</f>
        <v>154.96250000000001</v>
      </c>
    </row>
    <row r="92" spans="6:6" x14ac:dyDescent="0.45">
      <c r="F92" s="2">
        <f>E9*$H$1</f>
        <v>74.865000000000009</v>
      </c>
    </row>
    <row r="93" spans="6:6" x14ac:dyDescent="0.45">
      <c r="F93" s="2">
        <f>E10*$H$1</f>
        <v>63.962500000000006</v>
      </c>
    </row>
    <row r="94" spans="6:6" x14ac:dyDescent="0.45">
      <c r="F94" s="2">
        <f>E11*$H$1</f>
        <v>126.94500000000001</v>
      </c>
    </row>
    <row r="95" spans="6:6" x14ac:dyDescent="0.45">
      <c r="F95" s="2">
        <f>E12*$H$1</f>
        <v>134.4</v>
      </c>
    </row>
    <row r="96" spans="6:6" x14ac:dyDescent="0.45">
      <c r="F96" s="2">
        <f>E13*$H$1</f>
        <v>164.92000000000002</v>
      </c>
    </row>
    <row r="97" spans="6:6" x14ac:dyDescent="0.45">
      <c r="F97" s="2">
        <f>E14*$H$1</f>
        <v>106.10250000000001</v>
      </c>
    </row>
    <row r="98" spans="6:6" x14ac:dyDescent="0.45">
      <c r="F98" s="2">
        <f>MIN(F85:F97)</f>
        <v>63.962500000000006</v>
      </c>
    </row>
    <row r="100" spans="6:6" x14ac:dyDescent="0.45">
      <c r="F100" s="2">
        <f>COUNT(F85:F98)</f>
        <v>14</v>
      </c>
    </row>
  </sheetData>
  <phoneticPr fontId="1" type="noConversion"/>
  <pageMargins left="0.7" right="0.7" top="0.75" bottom="0.75" header="0.3" footer="0.3"/>
  <pageSetup paperSize="9" scale="2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E55B9-BDCC-4944-9E24-7871443A17E7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593B5-3212-4A9F-A162-694569578294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TaxesOwed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지민 김</cp:lastModifiedBy>
  <cp:lastPrinted>2026-07-22T02:23:40Z</cp:lastPrinted>
  <dcterms:created xsi:type="dcterms:W3CDTF">2022-07-03T02:12:21Z</dcterms:created>
  <dcterms:modified xsi:type="dcterms:W3CDTF">2026-07-22T02:30:55Z</dcterms:modified>
</cp:coreProperties>
</file>